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Ex1.xml" ContentType="application/vnd.ms-office.chartex+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5AEBCA7B-B245-412B-8A34-2F44A1B2FA0A}" xr6:coauthVersionLast="47" xr6:coauthVersionMax="47" xr10:uidLastSave="{00000000-0000-0000-0000-000000000000}"/>
  <bookViews>
    <workbookView xWindow="0" yWindow="540" windowWidth="23040" windowHeight="11700" tabRatio="583" activeTab="1" xr2:uid="{0804C8E0-71A2-4668-8D90-C00C1CD5CA67}"/>
  </bookViews>
  <sheets>
    <sheet name="pivot tables" sheetId="12" r:id="rId1"/>
    <sheet name="Dashboard" sheetId="14" r:id="rId2"/>
    <sheet name="penguins_size" sheetId="1" r:id="rId3"/>
  </sheets>
  <definedNames>
    <definedName name="_xlnm._FilterDatabase" localSheetId="2" hidden="1">penguins_size!$A$1:$A$345</definedName>
    <definedName name="_xlchart.v1.0" hidden="1">penguins_size!$F$1</definedName>
    <definedName name="_xlchart.v1.1" hidden="1">penguins_size!$F$2:$F$345</definedName>
    <definedName name="Slicer_island1">#N/A</definedName>
    <definedName name="Slicer_sex">#N/A</definedName>
    <definedName name="Slicer_specie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45" i="1" l="1"/>
  <c r="P345" i="1"/>
  <c r="O345" i="1"/>
  <c r="N345" i="1"/>
  <c r="I345" i="1"/>
  <c r="H345" i="1"/>
  <c r="Q344" i="1"/>
  <c r="P344" i="1"/>
  <c r="O344" i="1"/>
  <c r="N344" i="1"/>
  <c r="I344" i="1"/>
  <c r="H344" i="1"/>
  <c r="Q343" i="1"/>
  <c r="P343" i="1"/>
  <c r="O343" i="1"/>
  <c r="N343" i="1"/>
  <c r="I343" i="1"/>
  <c r="H343" i="1"/>
  <c r="Q342" i="1"/>
  <c r="P342" i="1"/>
  <c r="O342" i="1"/>
  <c r="N342" i="1"/>
  <c r="I342" i="1"/>
  <c r="H342" i="1"/>
  <c r="Q341" i="1"/>
  <c r="P341" i="1"/>
  <c r="O341" i="1"/>
  <c r="N341" i="1"/>
  <c r="I341" i="1"/>
  <c r="H341" i="1"/>
  <c r="Q340" i="1"/>
  <c r="P340" i="1"/>
  <c r="O340" i="1"/>
  <c r="N340" i="1"/>
  <c r="I340" i="1"/>
  <c r="H340" i="1"/>
  <c r="Q339" i="1"/>
  <c r="P339" i="1"/>
  <c r="O339" i="1"/>
  <c r="N339" i="1"/>
  <c r="I339" i="1"/>
  <c r="H339" i="1"/>
  <c r="Q338" i="1"/>
  <c r="P338" i="1"/>
  <c r="O338" i="1"/>
  <c r="N338" i="1"/>
  <c r="I338" i="1"/>
  <c r="H338" i="1"/>
  <c r="Q337" i="1"/>
  <c r="P337" i="1"/>
  <c r="O337" i="1"/>
  <c r="N337" i="1"/>
  <c r="I337" i="1"/>
  <c r="H337" i="1"/>
  <c r="Q336" i="1"/>
  <c r="P336" i="1"/>
  <c r="O336" i="1"/>
  <c r="N336" i="1"/>
  <c r="I336" i="1"/>
  <c r="H336" i="1"/>
  <c r="Q335" i="1"/>
  <c r="P335" i="1"/>
  <c r="O335" i="1"/>
  <c r="N335" i="1"/>
  <c r="I335" i="1"/>
  <c r="H335" i="1"/>
  <c r="Q334" i="1"/>
  <c r="P334" i="1"/>
  <c r="O334" i="1"/>
  <c r="N334" i="1"/>
  <c r="I334" i="1"/>
  <c r="H334" i="1"/>
  <c r="Q333" i="1"/>
  <c r="P333" i="1"/>
  <c r="O333" i="1"/>
  <c r="N333" i="1"/>
  <c r="I333" i="1"/>
  <c r="H333" i="1"/>
  <c r="Q332" i="1"/>
  <c r="P332" i="1"/>
  <c r="O332" i="1"/>
  <c r="N332" i="1"/>
  <c r="I332" i="1"/>
  <c r="H332" i="1"/>
  <c r="Q331" i="1"/>
  <c r="P331" i="1"/>
  <c r="O331" i="1"/>
  <c r="N331" i="1"/>
  <c r="I331" i="1"/>
  <c r="H331" i="1"/>
  <c r="Q330" i="1"/>
  <c r="P330" i="1"/>
  <c r="O330" i="1"/>
  <c r="N330" i="1"/>
  <c r="I330" i="1"/>
  <c r="H330" i="1"/>
  <c r="Q329" i="1"/>
  <c r="P329" i="1"/>
  <c r="O329" i="1"/>
  <c r="N329" i="1"/>
  <c r="I329" i="1"/>
  <c r="H329" i="1"/>
  <c r="Q328" i="1"/>
  <c r="P328" i="1"/>
  <c r="O328" i="1"/>
  <c r="N328" i="1"/>
  <c r="I328" i="1"/>
  <c r="H328" i="1"/>
  <c r="Q327" i="1"/>
  <c r="P327" i="1"/>
  <c r="O327" i="1"/>
  <c r="N327" i="1"/>
  <c r="I327" i="1"/>
  <c r="H327" i="1"/>
  <c r="Q326" i="1"/>
  <c r="P326" i="1"/>
  <c r="O326" i="1"/>
  <c r="N326" i="1"/>
  <c r="I326" i="1"/>
  <c r="H326" i="1"/>
  <c r="Q325" i="1"/>
  <c r="P325" i="1"/>
  <c r="O325" i="1"/>
  <c r="N325" i="1"/>
  <c r="I325" i="1"/>
  <c r="H325" i="1"/>
  <c r="Q324" i="1"/>
  <c r="P324" i="1"/>
  <c r="O324" i="1"/>
  <c r="N324" i="1"/>
  <c r="I324" i="1"/>
  <c r="H324" i="1"/>
  <c r="Q323" i="1"/>
  <c r="P323" i="1"/>
  <c r="O323" i="1"/>
  <c r="N323" i="1"/>
  <c r="I323" i="1"/>
  <c r="H323" i="1"/>
  <c r="Q322" i="1"/>
  <c r="P322" i="1"/>
  <c r="O322" i="1"/>
  <c r="N322" i="1"/>
  <c r="I322" i="1"/>
  <c r="H322" i="1"/>
  <c r="Q321" i="1"/>
  <c r="P321" i="1"/>
  <c r="O321" i="1"/>
  <c r="N321" i="1"/>
  <c r="I321" i="1"/>
  <c r="H321" i="1"/>
  <c r="Q320" i="1"/>
  <c r="P320" i="1"/>
  <c r="O320" i="1"/>
  <c r="N320" i="1"/>
  <c r="I320" i="1"/>
  <c r="H320" i="1"/>
  <c r="Q319" i="1"/>
  <c r="P319" i="1"/>
  <c r="O319" i="1"/>
  <c r="N319" i="1"/>
  <c r="I319" i="1"/>
  <c r="H319" i="1"/>
  <c r="Q318" i="1"/>
  <c r="P318" i="1"/>
  <c r="O318" i="1"/>
  <c r="N318" i="1"/>
  <c r="I318" i="1"/>
  <c r="H318" i="1"/>
  <c r="Q317" i="1"/>
  <c r="P317" i="1"/>
  <c r="O317" i="1"/>
  <c r="N317" i="1"/>
  <c r="I317" i="1"/>
  <c r="H317" i="1"/>
  <c r="Q316" i="1"/>
  <c r="P316" i="1"/>
  <c r="O316" i="1"/>
  <c r="N316" i="1"/>
  <c r="I316" i="1"/>
  <c r="H316" i="1"/>
  <c r="Q315" i="1"/>
  <c r="P315" i="1"/>
  <c r="O315" i="1"/>
  <c r="N315" i="1"/>
  <c r="I315" i="1"/>
  <c r="H315" i="1"/>
  <c r="Q314" i="1"/>
  <c r="P314" i="1"/>
  <c r="O314" i="1"/>
  <c r="N314" i="1"/>
  <c r="I314" i="1"/>
  <c r="H314" i="1"/>
  <c r="Q313" i="1"/>
  <c r="P313" i="1"/>
  <c r="O313" i="1"/>
  <c r="N313" i="1"/>
  <c r="I313" i="1"/>
  <c r="H313" i="1"/>
  <c r="Q312" i="1"/>
  <c r="P312" i="1"/>
  <c r="O312" i="1"/>
  <c r="N312" i="1"/>
  <c r="I312" i="1"/>
  <c r="H312" i="1"/>
  <c r="Q311" i="1"/>
  <c r="P311" i="1"/>
  <c r="O311" i="1"/>
  <c r="N311" i="1"/>
  <c r="I311" i="1"/>
  <c r="H311" i="1"/>
  <c r="Q310" i="1"/>
  <c r="P310" i="1"/>
  <c r="O310" i="1"/>
  <c r="N310" i="1"/>
  <c r="I310" i="1"/>
  <c r="H310" i="1"/>
  <c r="Q309" i="1"/>
  <c r="P309" i="1"/>
  <c r="O309" i="1"/>
  <c r="N309" i="1"/>
  <c r="I309" i="1"/>
  <c r="H309" i="1"/>
  <c r="Q308" i="1"/>
  <c r="P308" i="1"/>
  <c r="O308" i="1"/>
  <c r="N308" i="1"/>
  <c r="I308" i="1"/>
  <c r="H308" i="1"/>
  <c r="Q307" i="1"/>
  <c r="P307" i="1"/>
  <c r="O307" i="1"/>
  <c r="N307" i="1"/>
  <c r="I307" i="1"/>
  <c r="H307" i="1"/>
  <c r="Q306" i="1"/>
  <c r="P306" i="1"/>
  <c r="O306" i="1"/>
  <c r="N306" i="1"/>
  <c r="I306" i="1"/>
  <c r="H306" i="1"/>
  <c r="Q305" i="1"/>
  <c r="P305" i="1"/>
  <c r="O305" i="1"/>
  <c r="N305" i="1"/>
  <c r="I305" i="1"/>
  <c r="H305" i="1"/>
  <c r="Q304" i="1"/>
  <c r="P304" i="1"/>
  <c r="O304" i="1"/>
  <c r="N304" i="1"/>
  <c r="I304" i="1"/>
  <c r="H304" i="1"/>
  <c r="Q303" i="1"/>
  <c r="P303" i="1"/>
  <c r="O303" i="1"/>
  <c r="N303" i="1"/>
  <c r="I303" i="1"/>
  <c r="H303" i="1"/>
  <c r="Q302" i="1"/>
  <c r="P302" i="1"/>
  <c r="O302" i="1"/>
  <c r="N302" i="1"/>
  <c r="I302" i="1"/>
  <c r="H302" i="1"/>
  <c r="Q301" i="1"/>
  <c r="P301" i="1"/>
  <c r="O301" i="1"/>
  <c r="N301" i="1"/>
  <c r="I301" i="1"/>
  <c r="H301" i="1"/>
  <c r="Q300" i="1"/>
  <c r="P300" i="1"/>
  <c r="O300" i="1"/>
  <c r="N300" i="1"/>
  <c r="I300" i="1"/>
  <c r="H300" i="1"/>
  <c r="Q299" i="1"/>
  <c r="P299" i="1"/>
  <c r="O299" i="1"/>
  <c r="N299" i="1"/>
  <c r="I299" i="1"/>
  <c r="H299" i="1"/>
  <c r="Q298" i="1"/>
  <c r="P298" i="1"/>
  <c r="O298" i="1"/>
  <c r="N298" i="1"/>
  <c r="I298" i="1"/>
  <c r="H298" i="1"/>
  <c r="Q297" i="1"/>
  <c r="P297" i="1"/>
  <c r="O297" i="1"/>
  <c r="N297" i="1"/>
  <c r="I297" i="1"/>
  <c r="H297" i="1"/>
  <c r="Q296" i="1"/>
  <c r="P296" i="1"/>
  <c r="O296" i="1"/>
  <c r="N296" i="1"/>
  <c r="I296" i="1"/>
  <c r="H296" i="1"/>
  <c r="Q295" i="1"/>
  <c r="P295" i="1"/>
  <c r="O295" i="1"/>
  <c r="N295" i="1"/>
  <c r="I295" i="1"/>
  <c r="H295" i="1"/>
  <c r="Q294" i="1"/>
  <c r="P294" i="1"/>
  <c r="O294" i="1"/>
  <c r="N294" i="1"/>
  <c r="I294" i="1"/>
  <c r="H294" i="1"/>
  <c r="Q293" i="1"/>
  <c r="P293" i="1"/>
  <c r="O293" i="1"/>
  <c r="N293" i="1"/>
  <c r="I293" i="1"/>
  <c r="H293" i="1"/>
  <c r="Q292" i="1"/>
  <c r="P292" i="1"/>
  <c r="O292" i="1"/>
  <c r="N292" i="1"/>
  <c r="I292" i="1"/>
  <c r="H292" i="1"/>
  <c r="Q291" i="1"/>
  <c r="P291" i="1"/>
  <c r="O291" i="1"/>
  <c r="N291" i="1"/>
  <c r="I291" i="1"/>
  <c r="H291" i="1"/>
  <c r="Q290" i="1"/>
  <c r="P290" i="1"/>
  <c r="O290" i="1"/>
  <c r="N290" i="1"/>
  <c r="I290" i="1"/>
  <c r="H290" i="1"/>
  <c r="Q289" i="1"/>
  <c r="P289" i="1"/>
  <c r="O289" i="1"/>
  <c r="N289" i="1"/>
  <c r="I289" i="1"/>
  <c r="H289" i="1"/>
  <c r="Q288" i="1"/>
  <c r="P288" i="1"/>
  <c r="O288" i="1"/>
  <c r="N288" i="1"/>
  <c r="I288" i="1"/>
  <c r="H288" i="1"/>
  <c r="Q287" i="1"/>
  <c r="P287" i="1"/>
  <c r="O287" i="1"/>
  <c r="N287" i="1"/>
  <c r="I287" i="1"/>
  <c r="H287" i="1"/>
  <c r="Q286" i="1"/>
  <c r="P286" i="1"/>
  <c r="O286" i="1"/>
  <c r="N286" i="1"/>
  <c r="I286" i="1"/>
  <c r="H286" i="1"/>
  <c r="Q285" i="1"/>
  <c r="P285" i="1"/>
  <c r="O285" i="1"/>
  <c r="N285" i="1"/>
  <c r="I285" i="1"/>
  <c r="H285" i="1"/>
  <c r="Q284" i="1"/>
  <c r="P284" i="1"/>
  <c r="O284" i="1"/>
  <c r="N284" i="1"/>
  <c r="I284" i="1"/>
  <c r="H284" i="1"/>
  <c r="Q283" i="1"/>
  <c r="P283" i="1"/>
  <c r="O283" i="1"/>
  <c r="N283" i="1"/>
  <c r="I283" i="1"/>
  <c r="H283" i="1"/>
  <c r="Q282" i="1"/>
  <c r="P282" i="1"/>
  <c r="O282" i="1"/>
  <c r="N282" i="1"/>
  <c r="I282" i="1"/>
  <c r="H282" i="1"/>
  <c r="Q281" i="1"/>
  <c r="P281" i="1"/>
  <c r="O281" i="1"/>
  <c r="N281" i="1"/>
  <c r="I281" i="1"/>
  <c r="H281" i="1"/>
  <c r="Q280" i="1"/>
  <c r="P280" i="1"/>
  <c r="O280" i="1"/>
  <c r="N280" i="1"/>
  <c r="I280" i="1"/>
  <c r="H280" i="1"/>
  <c r="Q279" i="1"/>
  <c r="P279" i="1"/>
  <c r="O279" i="1"/>
  <c r="N279" i="1"/>
  <c r="I279" i="1"/>
  <c r="H279" i="1"/>
  <c r="Q278" i="1"/>
  <c r="P278" i="1"/>
  <c r="O278" i="1"/>
  <c r="N278" i="1"/>
  <c r="I278" i="1"/>
  <c r="H278" i="1"/>
  <c r="Q277" i="1"/>
  <c r="P277" i="1"/>
  <c r="O277" i="1"/>
  <c r="N277" i="1"/>
  <c r="I277" i="1"/>
  <c r="H277" i="1"/>
  <c r="Q276" i="1"/>
  <c r="P276" i="1"/>
  <c r="O276" i="1"/>
  <c r="N276" i="1"/>
  <c r="I276" i="1"/>
  <c r="H276" i="1"/>
  <c r="Q275" i="1"/>
  <c r="P275" i="1"/>
  <c r="O275" i="1"/>
  <c r="N275" i="1"/>
  <c r="I275" i="1"/>
  <c r="H275" i="1"/>
  <c r="Q274" i="1"/>
  <c r="P274" i="1"/>
  <c r="O274" i="1"/>
  <c r="N274" i="1"/>
  <c r="I274" i="1"/>
  <c r="H274" i="1"/>
  <c r="Q273" i="1"/>
  <c r="P273" i="1"/>
  <c r="O273" i="1"/>
  <c r="N273" i="1"/>
  <c r="I273" i="1"/>
  <c r="H273" i="1"/>
  <c r="Q272" i="1"/>
  <c r="P272" i="1"/>
  <c r="O272" i="1"/>
  <c r="N272" i="1"/>
  <c r="I272" i="1"/>
  <c r="H272" i="1"/>
  <c r="Q271" i="1"/>
  <c r="P271" i="1"/>
  <c r="O271" i="1"/>
  <c r="N271" i="1"/>
  <c r="I271" i="1"/>
  <c r="H271" i="1"/>
  <c r="Q270" i="1"/>
  <c r="P270" i="1"/>
  <c r="O270" i="1"/>
  <c r="N270" i="1"/>
  <c r="I270" i="1"/>
  <c r="H270" i="1"/>
  <c r="Q269" i="1"/>
  <c r="P269" i="1"/>
  <c r="O269" i="1"/>
  <c r="N269" i="1"/>
  <c r="I269" i="1"/>
  <c r="H269" i="1"/>
  <c r="Q268" i="1"/>
  <c r="P268" i="1"/>
  <c r="O268" i="1"/>
  <c r="N268" i="1"/>
  <c r="I268" i="1"/>
  <c r="H268" i="1"/>
  <c r="Q267" i="1"/>
  <c r="P267" i="1"/>
  <c r="O267" i="1"/>
  <c r="N267" i="1"/>
  <c r="I267" i="1"/>
  <c r="H267" i="1"/>
  <c r="Q266" i="1"/>
  <c r="P266" i="1"/>
  <c r="O266" i="1"/>
  <c r="N266" i="1"/>
  <c r="I266" i="1"/>
  <c r="H266" i="1"/>
  <c r="Q265" i="1"/>
  <c r="P265" i="1"/>
  <c r="O265" i="1"/>
  <c r="N265" i="1"/>
  <c r="I265" i="1"/>
  <c r="H265" i="1"/>
  <c r="Q264" i="1"/>
  <c r="P264" i="1"/>
  <c r="O264" i="1"/>
  <c r="N264" i="1"/>
  <c r="I264" i="1"/>
  <c r="H264" i="1"/>
  <c r="Q263" i="1"/>
  <c r="P263" i="1"/>
  <c r="O263" i="1"/>
  <c r="N263" i="1"/>
  <c r="I263" i="1"/>
  <c r="H263" i="1"/>
  <c r="Q262" i="1"/>
  <c r="P262" i="1"/>
  <c r="O262" i="1"/>
  <c r="N262" i="1"/>
  <c r="I262" i="1"/>
  <c r="H262" i="1"/>
  <c r="Q261" i="1"/>
  <c r="P261" i="1"/>
  <c r="O261" i="1"/>
  <c r="N261" i="1"/>
  <c r="I261" i="1"/>
  <c r="H261" i="1"/>
  <c r="Q260" i="1"/>
  <c r="P260" i="1"/>
  <c r="O260" i="1"/>
  <c r="N260" i="1"/>
  <c r="I260" i="1"/>
  <c r="H260" i="1"/>
  <c r="Q259" i="1"/>
  <c r="P259" i="1"/>
  <c r="O259" i="1"/>
  <c r="N259" i="1"/>
  <c r="I259" i="1"/>
  <c r="H259" i="1"/>
  <c r="Q258" i="1"/>
  <c r="P258" i="1"/>
  <c r="O258" i="1"/>
  <c r="N258" i="1"/>
  <c r="I258" i="1"/>
  <c r="H258" i="1"/>
  <c r="Q257" i="1"/>
  <c r="P257" i="1"/>
  <c r="O257" i="1"/>
  <c r="N257" i="1"/>
  <c r="I257" i="1"/>
  <c r="H257" i="1"/>
  <c r="Q256" i="1"/>
  <c r="P256" i="1"/>
  <c r="O256" i="1"/>
  <c r="N256" i="1"/>
  <c r="I256" i="1"/>
  <c r="H256" i="1"/>
  <c r="Q255" i="1"/>
  <c r="P255" i="1"/>
  <c r="O255" i="1"/>
  <c r="N255" i="1"/>
  <c r="I255" i="1"/>
  <c r="H255" i="1"/>
  <c r="Q254" i="1"/>
  <c r="P254" i="1"/>
  <c r="O254" i="1"/>
  <c r="N254" i="1"/>
  <c r="I254" i="1"/>
  <c r="H254" i="1"/>
  <c r="Q253" i="1"/>
  <c r="P253" i="1"/>
  <c r="O253" i="1"/>
  <c r="N253" i="1"/>
  <c r="I253" i="1"/>
  <c r="H253" i="1"/>
  <c r="Q252" i="1"/>
  <c r="P252" i="1"/>
  <c r="O252" i="1"/>
  <c r="N252" i="1"/>
  <c r="I252" i="1"/>
  <c r="H252" i="1"/>
  <c r="Q251" i="1"/>
  <c r="P251" i="1"/>
  <c r="O251" i="1"/>
  <c r="N251" i="1"/>
  <c r="I251" i="1"/>
  <c r="H251" i="1"/>
  <c r="Q250" i="1"/>
  <c r="P250" i="1"/>
  <c r="O250" i="1"/>
  <c r="N250" i="1"/>
  <c r="I250" i="1"/>
  <c r="H250" i="1"/>
  <c r="Q249" i="1"/>
  <c r="P249" i="1"/>
  <c r="O249" i="1"/>
  <c r="N249" i="1"/>
  <c r="I249" i="1"/>
  <c r="H249" i="1"/>
  <c r="Q248" i="1"/>
  <c r="P248" i="1"/>
  <c r="O248" i="1"/>
  <c r="N248" i="1"/>
  <c r="I248" i="1"/>
  <c r="H248" i="1"/>
  <c r="Q247" i="1"/>
  <c r="P247" i="1"/>
  <c r="O247" i="1"/>
  <c r="N247" i="1"/>
  <c r="I247" i="1"/>
  <c r="H247" i="1"/>
  <c r="Q246" i="1"/>
  <c r="P246" i="1"/>
  <c r="O246" i="1"/>
  <c r="N246" i="1"/>
  <c r="I246" i="1"/>
  <c r="H246" i="1"/>
  <c r="Q245" i="1"/>
  <c r="P245" i="1"/>
  <c r="O245" i="1"/>
  <c r="N245" i="1"/>
  <c r="I245" i="1"/>
  <c r="H245" i="1"/>
  <c r="Q244" i="1"/>
  <c r="P244" i="1"/>
  <c r="O244" i="1"/>
  <c r="N244" i="1"/>
  <c r="I244" i="1"/>
  <c r="H244" i="1"/>
  <c r="Q243" i="1"/>
  <c r="P243" i="1"/>
  <c r="O243" i="1"/>
  <c r="N243" i="1"/>
  <c r="I243" i="1"/>
  <c r="H243" i="1"/>
  <c r="Q242" i="1"/>
  <c r="P242" i="1"/>
  <c r="O242" i="1"/>
  <c r="N242" i="1"/>
  <c r="I242" i="1"/>
  <c r="H242" i="1"/>
  <c r="Q241" i="1"/>
  <c r="P241" i="1"/>
  <c r="O241" i="1"/>
  <c r="N241" i="1"/>
  <c r="I241" i="1"/>
  <c r="H241" i="1"/>
  <c r="Q240" i="1"/>
  <c r="P240" i="1"/>
  <c r="O240" i="1"/>
  <c r="N240" i="1"/>
  <c r="I240" i="1"/>
  <c r="H240" i="1"/>
  <c r="Q239" i="1"/>
  <c r="P239" i="1"/>
  <c r="O239" i="1"/>
  <c r="N239" i="1"/>
  <c r="I239" i="1"/>
  <c r="H239" i="1"/>
  <c r="Q238" i="1"/>
  <c r="P238" i="1"/>
  <c r="O238" i="1"/>
  <c r="N238" i="1"/>
  <c r="I238" i="1"/>
  <c r="H238" i="1"/>
  <c r="Q237" i="1"/>
  <c r="P237" i="1"/>
  <c r="O237" i="1"/>
  <c r="N237" i="1"/>
  <c r="I237" i="1"/>
  <c r="H237" i="1"/>
  <c r="Q236" i="1"/>
  <c r="P236" i="1"/>
  <c r="O236" i="1"/>
  <c r="N236" i="1"/>
  <c r="I236" i="1"/>
  <c r="H236" i="1"/>
  <c r="Q235" i="1"/>
  <c r="P235" i="1"/>
  <c r="O235" i="1"/>
  <c r="N235" i="1"/>
  <c r="I235" i="1"/>
  <c r="H235" i="1"/>
  <c r="Q234" i="1"/>
  <c r="P234" i="1"/>
  <c r="O234" i="1"/>
  <c r="N234" i="1"/>
  <c r="I234" i="1"/>
  <c r="H234" i="1"/>
  <c r="Q233" i="1"/>
  <c r="P233" i="1"/>
  <c r="O233" i="1"/>
  <c r="N233" i="1"/>
  <c r="I233" i="1"/>
  <c r="H233" i="1"/>
  <c r="Q232" i="1"/>
  <c r="P232" i="1"/>
  <c r="O232" i="1"/>
  <c r="N232" i="1"/>
  <c r="I232" i="1"/>
  <c r="H232" i="1"/>
  <c r="Q231" i="1"/>
  <c r="P231" i="1"/>
  <c r="O231" i="1"/>
  <c r="N231" i="1"/>
  <c r="I231" i="1"/>
  <c r="H231" i="1"/>
  <c r="Q230" i="1"/>
  <c r="P230" i="1"/>
  <c r="O230" i="1"/>
  <c r="N230" i="1"/>
  <c r="I230" i="1"/>
  <c r="H230" i="1"/>
  <c r="Q229" i="1"/>
  <c r="P229" i="1"/>
  <c r="O229" i="1"/>
  <c r="N229" i="1"/>
  <c r="I229" i="1"/>
  <c r="H229" i="1"/>
  <c r="Q228" i="1"/>
  <c r="P228" i="1"/>
  <c r="O228" i="1"/>
  <c r="N228" i="1"/>
  <c r="I228" i="1"/>
  <c r="H228" i="1"/>
  <c r="Q227" i="1"/>
  <c r="P227" i="1"/>
  <c r="O227" i="1"/>
  <c r="N227" i="1"/>
  <c r="I227" i="1"/>
  <c r="H227" i="1"/>
  <c r="Q226" i="1"/>
  <c r="P226" i="1"/>
  <c r="O226" i="1"/>
  <c r="N226" i="1"/>
  <c r="I226" i="1"/>
  <c r="H226" i="1"/>
  <c r="Q225" i="1"/>
  <c r="P225" i="1"/>
  <c r="O225" i="1"/>
  <c r="N225" i="1"/>
  <c r="I225" i="1"/>
  <c r="H225" i="1"/>
  <c r="Q224" i="1"/>
  <c r="P224" i="1"/>
  <c r="O224" i="1"/>
  <c r="N224" i="1"/>
  <c r="I224" i="1"/>
  <c r="H224" i="1"/>
  <c r="Q223" i="1"/>
  <c r="P223" i="1"/>
  <c r="O223" i="1"/>
  <c r="N223" i="1"/>
  <c r="I223" i="1"/>
  <c r="H223" i="1"/>
  <c r="Q222" i="1"/>
  <c r="P222" i="1"/>
  <c r="O222" i="1"/>
  <c r="N222" i="1"/>
  <c r="I222" i="1"/>
  <c r="H222" i="1"/>
  <c r="Q221" i="1"/>
  <c r="P221" i="1"/>
  <c r="O221" i="1"/>
  <c r="N221" i="1"/>
  <c r="I221" i="1"/>
  <c r="H221" i="1"/>
  <c r="Q220" i="1"/>
  <c r="P220" i="1"/>
  <c r="O220" i="1"/>
  <c r="N220" i="1"/>
  <c r="I220" i="1"/>
  <c r="H220" i="1"/>
  <c r="Q219" i="1"/>
  <c r="P219" i="1"/>
  <c r="O219" i="1"/>
  <c r="N219" i="1"/>
  <c r="I219" i="1"/>
  <c r="H219" i="1"/>
  <c r="Q218" i="1"/>
  <c r="P218" i="1"/>
  <c r="O218" i="1"/>
  <c r="N218" i="1"/>
  <c r="I218" i="1"/>
  <c r="H218" i="1"/>
  <c r="Q217" i="1"/>
  <c r="P217" i="1"/>
  <c r="O217" i="1"/>
  <c r="N217" i="1"/>
  <c r="I217" i="1"/>
  <c r="H217" i="1"/>
  <c r="Q216" i="1"/>
  <c r="P216" i="1"/>
  <c r="O216" i="1"/>
  <c r="N216" i="1"/>
  <c r="I216" i="1"/>
  <c r="H216" i="1"/>
  <c r="Q215" i="1"/>
  <c r="P215" i="1"/>
  <c r="O215" i="1"/>
  <c r="N215" i="1"/>
  <c r="I215" i="1"/>
  <c r="H215" i="1"/>
  <c r="Q214" i="1"/>
  <c r="P214" i="1"/>
  <c r="O214" i="1"/>
  <c r="N214" i="1"/>
  <c r="I214" i="1"/>
  <c r="H214" i="1"/>
  <c r="Q213" i="1"/>
  <c r="P213" i="1"/>
  <c r="O213" i="1"/>
  <c r="N213" i="1"/>
  <c r="I213" i="1"/>
  <c r="H213" i="1"/>
  <c r="Q212" i="1"/>
  <c r="P212" i="1"/>
  <c r="O212" i="1"/>
  <c r="N212" i="1"/>
  <c r="I212" i="1"/>
  <c r="H212" i="1"/>
  <c r="Q211" i="1"/>
  <c r="P211" i="1"/>
  <c r="O211" i="1"/>
  <c r="N211" i="1"/>
  <c r="I211" i="1"/>
  <c r="H211" i="1"/>
  <c r="Q210" i="1"/>
  <c r="P210" i="1"/>
  <c r="O210" i="1"/>
  <c r="N210" i="1"/>
  <c r="I210" i="1"/>
  <c r="H210" i="1"/>
  <c r="Q209" i="1"/>
  <c r="P209" i="1"/>
  <c r="O209" i="1"/>
  <c r="N209" i="1"/>
  <c r="I209" i="1"/>
  <c r="H209" i="1"/>
  <c r="Q208" i="1"/>
  <c r="P208" i="1"/>
  <c r="O208" i="1"/>
  <c r="N208" i="1"/>
  <c r="I208" i="1"/>
  <c r="H208" i="1"/>
  <c r="Q207" i="1"/>
  <c r="P207" i="1"/>
  <c r="O207" i="1"/>
  <c r="N207" i="1"/>
  <c r="I207" i="1"/>
  <c r="H207" i="1"/>
  <c r="Q206" i="1"/>
  <c r="P206" i="1"/>
  <c r="O206" i="1"/>
  <c r="N206" i="1"/>
  <c r="I206" i="1"/>
  <c r="H206" i="1"/>
  <c r="Q205" i="1"/>
  <c r="P205" i="1"/>
  <c r="O205" i="1"/>
  <c r="N205" i="1"/>
  <c r="I205" i="1"/>
  <c r="H205" i="1"/>
  <c r="Q204" i="1"/>
  <c r="P204" i="1"/>
  <c r="O204" i="1"/>
  <c r="N204" i="1"/>
  <c r="I204" i="1"/>
  <c r="H204" i="1"/>
  <c r="Q203" i="1"/>
  <c r="P203" i="1"/>
  <c r="O203" i="1"/>
  <c r="N203" i="1"/>
  <c r="I203" i="1"/>
  <c r="H203" i="1"/>
  <c r="Q202" i="1"/>
  <c r="P202" i="1"/>
  <c r="O202" i="1"/>
  <c r="N202" i="1"/>
  <c r="I202" i="1"/>
  <c r="H202" i="1"/>
  <c r="Q201" i="1"/>
  <c r="P201" i="1"/>
  <c r="O201" i="1"/>
  <c r="N201" i="1"/>
  <c r="I201" i="1"/>
  <c r="H201" i="1"/>
  <c r="Q200" i="1"/>
  <c r="P200" i="1"/>
  <c r="O200" i="1"/>
  <c r="N200" i="1"/>
  <c r="I200" i="1"/>
  <c r="H200" i="1"/>
  <c r="Q199" i="1"/>
  <c r="P199" i="1"/>
  <c r="O199" i="1"/>
  <c r="N199" i="1"/>
  <c r="I199" i="1"/>
  <c r="H199" i="1"/>
  <c r="Q198" i="1"/>
  <c r="P198" i="1"/>
  <c r="O198" i="1"/>
  <c r="N198" i="1"/>
  <c r="I198" i="1"/>
  <c r="H198" i="1"/>
  <c r="Q197" i="1"/>
  <c r="P197" i="1"/>
  <c r="O197" i="1"/>
  <c r="N197" i="1"/>
  <c r="I197" i="1"/>
  <c r="H197" i="1"/>
  <c r="Q196" i="1"/>
  <c r="P196" i="1"/>
  <c r="O196" i="1"/>
  <c r="N196" i="1"/>
  <c r="I196" i="1"/>
  <c r="H196" i="1"/>
  <c r="Q195" i="1"/>
  <c r="P195" i="1"/>
  <c r="O195" i="1"/>
  <c r="N195" i="1"/>
  <c r="I195" i="1"/>
  <c r="H195" i="1"/>
  <c r="Q194" i="1"/>
  <c r="P194" i="1"/>
  <c r="O194" i="1"/>
  <c r="N194" i="1"/>
  <c r="I194" i="1"/>
  <c r="H194" i="1"/>
  <c r="Q193" i="1"/>
  <c r="P193" i="1"/>
  <c r="O193" i="1"/>
  <c r="N193" i="1"/>
  <c r="I193" i="1"/>
  <c r="H193" i="1"/>
  <c r="Q192" i="1"/>
  <c r="P192" i="1"/>
  <c r="O192" i="1"/>
  <c r="N192" i="1"/>
  <c r="I192" i="1"/>
  <c r="H192" i="1"/>
  <c r="Q191" i="1"/>
  <c r="P191" i="1"/>
  <c r="O191" i="1"/>
  <c r="N191" i="1"/>
  <c r="I191" i="1"/>
  <c r="H191" i="1"/>
  <c r="Q190" i="1"/>
  <c r="P190" i="1"/>
  <c r="O190" i="1"/>
  <c r="N190" i="1"/>
  <c r="I190" i="1"/>
  <c r="H190" i="1"/>
  <c r="Q189" i="1"/>
  <c r="P189" i="1"/>
  <c r="O189" i="1"/>
  <c r="N189" i="1"/>
  <c r="I189" i="1"/>
  <c r="H189" i="1"/>
  <c r="Q188" i="1"/>
  <c r="P188" i="1"/>
  <c r="O188" i="1"/>
  <c r="N188" i="1"/>
  <c r="I188" i="1"/>
  <c r="H188" i="1"/>
  <c r="Q187" i="1"/>
  <c r="P187" i="1"/>
  <c r="O187" i="1"/>
  <c r="N187" i="1"/>
  <c r="I187" i="1"/>
  <c r="H187" i="1"/>
  <c r="Q186" i="1"/>
  <c r="P186" i="1"/>
  <c r="O186" i="1"/>
  <c r="N186" i="1"/>
  <c r="I186" i="1"/>
  <c r="H186" i="1"/>
  <c r="Q185" i="1"/>
  <c r="P185" i="1"/>
  <c r="O185" i="1"/>
  <c r="N185" i="1"/>
  <c r="I185" i="1"/>
  <c r="H185" i="1"/>
  <c r="Q184" i="1"/>
  <c r="P184" i="1"/>
  <c r="O184" i="1"/>
  <c r="N184" i="1"/>
  <c r="I184" i="1"/>
  <c r="H184" i="1"/>
  <c r="Q183" i="1"/>
  <c r="P183" i="1"/>
  <c r="O183" i="1"/>
  <c r="N183" i="1"/>
  <c r="I183" i="1"/>
  <c r="H183" i="1"/>
  <c r="Q182" i="1"/>
  <c r="P182" i="1"/>
  <c r="O182" i="1"/>
  <c r="N182" i="1"/>
  <c r="I182" i="1"/>
  <c r="H182" i="1"/>
  <c r="Q181" i="1"/>
  <c r="P181" i="1"/>
  <c r="O181" i="1"/>
  <c r="N181" i="1"/>
  <c r="I181" i="1"/>
  <c r="H181" i="1"/>
  <c r="Q180" i="1"/>
  <c r="P180" i="1"/>
  <c r="O180" i="1"/>
  <c r="N180" i="1"/>
  <c r="I180" i="1"/>
  <c r="H180" i="1"/>
  <c r="Q179" i="1"/>
  <c r="P179" i="1"/>
  <c r="O179" i="1"/>
  <c r="N179" i="1"/>
  <c r="I179" i="1"/>
  <c r="H179" i="1"/>
  <c r="Q178" i="1"/>
  <c r="P178" i="1"/>
  <c r="O178" i="1"/>
  <c r="N178" i="1"/>
  <c r="I178" i="1"/>
  <c r="H178" i="1"/>
  <c r="Q177" i="1"/>
  <c r="P177" i="1"/>
  <c r="O177" i="1"/>
  <c r="N177" i="1"/>
  <c r="I177" i="1"/>
  <c r="H177" i="1"/>
  <c r="Q176" i="1"/>
  <c r="P176" i="1"/>
  <c r="O176" i="1"/>
  <c r="N176" i="1"/>
  <c r="I176" i="1"/>
  <c r="H176" i="1"/>
  <c r="Q175" i="1"/>
  <c r="P175" i="1"/>
  <c r="O175" i="1"/>
  <c r="N175" i="1"/>
  <c r="I175" i="1"/>
  <c r="H175" i="1"/>
  <c r="Q174" i="1"/>
  <c r="P174" i="1"/>
  <c r="O174" i="1"/>
  <c r="N174" i="1"/>
  <c r="I174" i="1"/>
  <c r="H174" i="1"/>
  <c r="Q173" i="1"/>
  <c r="P173" i="1"/>
  <c r="O173" i="1"/>
  <c r="N173" i="1"/>
  <c r="I173" i="1"/>
  <c r="H173" i="1"/>
  <c r="Q172" i="1"/>
  <c r="P172" i="1"/>
  <c r="O172" i="1"/>
  <c r="N172" i="1"/>
  <c r="I172" i="1"/>
  <c r="H172" i="1"/>
  <c r="Q171" i="1"/>
  <c r="P171" i="1"/>
  <c r="O171" i="1"/>
  <c r="N171" i="1"/>
  <c r="I171" i="1"/>
  <c r="H171" i="1"/>
  <c r="Q170" i="1"/>
  <c r="P170" i="1"/>
  <c r="O170" i="1"/>
  <c r="N170" i="1"/>
  <c r="I170" i="1"/>
  <c r="H170" i="1"/>
  <c r="Q169" i="1"/>
  <c r="P169" i="1"/>
  <c r="O169" i="1"/>
  <c r="N169" i="1"/>
  <c r="I169" i="1"/>
  <c r="H169" i="1"/>
  <c r="Q168" i="1"/>
  <c r="P168" i="1"/>
  <c r="O168" i="1"/>
  <c r="N168" i="1"/>
  <c r="I168" i="1"/>
  <c r="H168" i="1"/>
  <c r="Q167" i="1"/>
  <c r="P167" i="1"/>
  <c r="O167" i="1"/>
  <c r="N167" i="1"/>
  <c r="I167" i="1"/>
  <c r="H167" i="1"/>
  <c r="Q166" i="1"/>
  <c r="P166" i="1"/>
  <c r="O166" i="1"/>
  <c r="N166" i="1"/>
  <c r="I166" i="1"/>
  <c r="H166" i="1"/>
  <c r="Q165" i="1"/>
  <c r="P165" i="1"/>
  <c r="O165" i="1"/>
  <c r="N165" i="1"/>
  <c r="I165" i="1"/>
  <c r="H165" i="1"/>
  <c r="Q164" i="1"/>
  <c r="P164" i="1"/>
  <c r="O164" i="1"/>
  <c r="N164" i="1"/>
  <c r="I164" i="1"/>
  <c r="H164" i="1"/>
  <c r="Q163" i="1"/>
  <c r="P163" i="1"/>
  <c r="O163" i="1"/>
  <c r="N163" i="1"/>
  <c r="I163" i="1"/>
  <c r="H163" i="1"/>
  <c r="Q162" i="1"/>
  <c r="P162" i="1"/>
  <c r="O162" i="1"/>
  <c r="N162" i="1"/>
  <c r="I162" i="1"/>
  <c r="H162" i="1"/>
  <c r="Q161" i="1"/>
  <c r="P161" i="1"/>
  <c r="O161" i="1"/>
  <c r="N161" i="1"/>
  <c r="I161" i="1"/>
  <c r="H161" i="1"/>
  <c r="Q160" i="1"/>
  <c r="P160" i="1"/>
  <c r="O160" i="1"/>
  <c r="N160" i="1"/>
  <c r="I160" i="1"/>
  <c r="H160" i="1"/>
  <c r="Q159" i="1"/>
  <c r="P159" i="1"/>
  <c r="O159" i="1"/>
  <c r="N159" i="1"/>
  <c r="I159" i="1"/>
  <c r="H159" i="1"/>
  <c r="Q158" i="1"/>
  <c r="P158" i="1"/>
  <c r="O158" i="1"/>
  <c r="N158" i="1"/>
  <c r="I158" i="1"/>
  <c r="H158" i="1"/>
  <c r="Q157" i="1"/>
  <c r="P157" i="1"/>
  <c r="O157" i="1"/>
  <c r="N157" i="1"/>
  <c r="I157" i="1"/>
  <c r="H157" i="1"/>
  <c r="Q156" i="1"/>
  <c r="P156" i="1"/>
  <c r="O156" i="1"/>
  <c r="N156" i="1"/>
  <c r="I156" i="1"/>
  <c r="H156" i="1"/>
  <c r="Q155" i="1"/>
  <c r="P155" i="1"/>
  <c r="O155" i="1"/>
  <c r="N155" i="1"/>
  <c r="I155" i="1"/>
  <c r="H155" i="1"/>
  <c r="Q154" i="1"/>
  <c r="P154" i="1"/>
  <c r="O154" i="1"/>
  <c r="N154" i="1"/>
  <c r="I154" i="1"/>
  <c r="H154" i="1"/>
  <c r="Q153" i="1"/>
  <c r="P153" i="1"/>
  <c r="O153" i="1"/>
  <c r="N153" i="1"/>
  <c r="I153" i="1"/>
  <c r="H153" i="1"/>
  <c r="Q152" i="1"/>
  <c r="P152" i="1"/>
  <c r="O152" i="1"/>
  <c r="N152" i="1"/>
  <c r="I152" i="1"/>
  <c r="H152" i="1"/>
  <c r="Q151" i="1"/>
  <c r="P151" i="1"/>
  <c r="O151" i="1"/>
  <c r="N151" i="1"/>
  <c r="I151" i="1"/>
  <c r="H151" i="1"/>
  <c r="Q150" i="1"/>
  <c r="P150" i="1"/>
  <c r="O150" i="1"/>
  <c r="N150" i="1"/>
  <c r="I150" i="1"/>
  <c r="H150" i="1"/>
  <c r="Q149" i="1"/>
  <c r="P149" i="1"/>
  <c r="O149" i="1"/>
  <c r="N149" i="1"/>
  <c r="I149" i="1"/>
  <c r="H149" i="1"/>
  <c r="Q148" i="1"/>
  <c r="P148" i="1"/>
  <c r="O148" i="1"/>
  <c r="N148" i="1"/>
  <c r="I148" i="1"/>
  <c r="H148" i="1"/>
  <c r="Q147" i="1"/>
  <c r="P147" i="1"/>
  <c r="O147" i="1"/>
  <c r="N147" i="1"/>
  <c r="I147" i="1"/>
  <c r="H147" i="1"/>
  <c r="Q146" i="1"/>
  <c r="P146" i="1"/>
  <c r="O146" i="1"/>
  <c r="N146" i="1"/>
  <c r="I146" i="1"/>
  <c r="H146" i="1"/>
  <c r="Q145" i="1"/>
  <c r="P145" i="1"/>
  <c r="O145" i="1"/>
  <c r="N145" i="1"/>
  <c r="I145" i="1"/>
  <c r="H145" i="1"/>
  <c r="Q144" i="1"/>
  <c r="P144" i="1"/>
  <c r="O144" i="1"/>
  <c r="N144" i="1"/>
  <c r="I144" i="1"/>
  <c r="H144" i="1"/>
  <c r="Q143" i="1"/>
  <c r="P143" i="1"/>
  <c r="O143" i="1"/>
  <c r="N143" i="1"/>
  <c r="I143" i="1"/>
  <c r="H143" i="1"/>
  <c r="Q142" i="1"/>
  <c r="P142" i="1"/>
  <c r="O142" i="1"/>
  <c r="N142" i="1"/>
  <c r="I142" i="1"/>
  <c r="H142" i="1"/>
  <c r="Q141" i="1"/>
  <c r="P141" i="1"/>
  <c r="O141" i="1"/>
  <c r="N141" i="1"/>
  <c r="I141" i="1"/>
  <c r="H141" i="1"/>
  <c r="Q140" i="1"/>
  <c r="P140" i="1"/>
  <c r="O140" i="1"/>
  <c r="N140" i="1"/>
  <c r="I140" i="1"/>
  <c r="H140" i="1"/>
  <c r="Q139" i="1"/>
  <c r="P139" i="1"/>
  <c r="O139" i="1"/>
  <c r="N139" i="1"/>
  <c r="I139" i="1"/>
  <c r="H139" i="1"/>
  <c r="Q138" i="1"/>
  <c r="P138" i="1"/>
  <c r="O138" i="1"/>
  <c r="N138" i="1"/>
  <c r="I138" i="1"/>
  <c r="H138" i="1"/>
  <c r="Q137" i="1"/>
  <c r="P137" i="1"/>
  <c r="O137" i="1"/>
  <c r="N137" i="1"/>
  <c r="I137" i="1"/>
  <c r="H137" i="1"/>
  <c r="Q136" i="1"/>
  <c r="P136" i="1"/>
  <c r="O136" i="1"/>
  <c r="N136" i="1"/>
  <c r="I136" i="1"/>
  <c r="H136" i="1"/>
  <c r="Q135" i="1"/>
  <c r="P135" i="1"/>
  <c r="O135" i="1"/>
  <c r="N135" i="1"/>
  <c r="I135" i="1"/>
  <c r="H135" i="1"/>
  <c r="Q134" i="1"/>
  <c r="P134" i="1"/>
  <c r="O134" i="1"/>
  <c r="N134" i="1"/>
  <c r="I134" i="1"/>
  <c r="H134" i="1"/>
  <c r="Q133" i="1"/>
  <c r="P133" i="1"/>
  <c r="O133" i="1"/>
  <c r="N133" i="1"/>
  <c r="I133" i="1"/>
  <c r="H133" i="1"/>
  <c r="Q132" i="1"/>
  <c r="P132" i="1"/>
  <c r="O132" i="1"/>
  <c r="N132" i="1"/>
  <c r="I132" i="1"/>
  <c r="H132" i="1"/>
  <c r="Q131" i="1"/>
  <c r="P131" i="1"/>
  <c r="O131" i="1"/>
  <c r="N131" i="1"/>
  <c r="I131" i="1"/>
  <c r="H131" i="1"/>
  <c r="Q130" i="1"/>
  <c r="P130" i="1"/>
  <c r="O130" i="1"/>
  <c r="N130" i="1"/>
  <c r="I130" i="1"/>
  <c r="H130" i="1"/>
  <c r="Q129" i="1"/>
  <c r="P129" i="1"/>
  <c r="O129" i="1"/>
  <c r="N129" i="1"/>
  <c r="I129" i="1"/>
  <c r="H129" i="1"/>
  <c r="Q128" i="1"/>
  <c r="P128" i="1"/>
  <c r="O128" i="1"/>
  <c r="N128" i="1"/>
  <c r="I128" i="1"/>
  <c r="H128" i="1"/>
  <c r="Q127" i="1"/>
  <c r="P127" i="1"/>
  <c r="O127" i="1"/>
  <c r="N127" i="1"/>
  <c r="I127" i="1"/>
  <c r="H127" i="1"/>
  <c r="Q126" i="1"/>
  <c r="P126" i="1"/>
  <c r="O126" i="1"/>
  <c r="N126" i="1"/>
  <c r="I126" i="1"/>
  <c r="H126" i="1"/>
  <c r="Q125" i="1"/>
  <c r="P125" i="1"/>
  <c r="O125" i="1"/>
  <c r="N125" i="1"/>
  <c r="I125" i="1"/>
  <c r="H125" i="1"/>
  <c r="Q124" i="1"/>
  <c r="P124" i="1"/>
  <c r="O124" i="1"/>
  <c r="N124" i="1"/>
  <c r="I124" i="1"/>
  <c r="H124" i="1"/>
  <c r="Q123" i="1"/>
  <c r="P123" i="1"/>
  <c r="O123" i="1"/>
  <c r="N123" i="1"/>
  <c r="I123" i="1"/>
  <c r="H123" i="1"/>
  <c r="Q122" i="1"/>
  <c r="P122" i="1"/>
  <c r="O122" i="1"/>
  <c r="N122" i="1"/>
  <c r="I122" i="1"/>
  <c r="H122" i="1"/>
  <c r="Q121" i="1"/>
  <c r="P121" i="1"/>
  <c r="O121" i="1"/>
  <c r="N121" i="1"/>
  <c r="I121" i="1"/>
  <c r="H121" i="1"/>
  <c r="Q120" i="1"/>
  <c r="P120" i="1"/>
  <c r="O120" i="1"/>
  <c r="N120" i="1"/>
  <c r="I120" i="1"/>
  <c r="H120" i="1"/>
  <c r="Q119" i="1"/>
  <c r="P119" i="1"/>
  <c r="O119" i="1"/>
  <c r="N119" i="1"/>
  <c r="I119" i="1"/>
  <c r="H119" i="1"/>
  <c r="Q118" i="1"/>
  <c r="P118" i="1"/>
  <c r="O118" i="1"/>
  <c r="N118" i="1"/>
  <c r="I118" i="1"/>
  <c r="H118" i="1"/>
  <c r="Q117" i="1"/>
  <c r="P117" i="1"/>
  <c r="O117" i="1"/>
  <c r="N117" i="1"/>
  <c r="I117" i="1"/>
  <c r="H117" i="1"/>
  <c r="Q116" i="1"/>
  <c r="P116" i="1"/>
  <c r="O116" i="1"/>
  <c r="N116" i="1"/>
  <c r="I116" i="1"/>
  <c r="H116" i="1"/>
  <c r="Q115" i="1"/>
  <c r="P115" i="1"/>
  <c r="O115" i="1"/>
  <c r="N115" i="1"/>
  <c r="I115" i="1"/>
  <c r="H115" i="1"/>
  <c r="Q114" i="1"/>
  <c r="P114" i="1"/>
  <c r="O114" i="1"/>
  <c r="N114" i="1"/>
  <c r="I114" i="1"/>
  <c r="H114" i="1"/>
  <c r="Q113" i="1"/>
  <c r="P113" i="1"/>
  <c r="O113" i="1"/>
  <c r="N113" i="1"/>
  <c r="I113" i="1"/>
  <c r="H113" i="1"/>
  <c r="Q112" i="1"/>
  <c r="P112" i="1"/>
  <c r="O112" i="1"/>
  <c r="N112" i="1"/>
  <c r="I112" i="1"/>
  <c r="H112" i="1"/>
  <c r="Q111" i="1"/>
  <c r="P111" i="1"/>
  <c r="O111" i="1"/>
  <c r="N111" i="1"/>
  <c r="I111" i="1"/>
  <c r="H111" i="1"/>
  <c r="Q110" i="1"/>
  <c r="P110" i="1"/>
  <c r="O110" i="1"/>
  <c r="N110" i="1"/>
  <c r="I110" i="1"/>
  <c r="H110" i="1"/>
  <c r="Q109" i="1"/>
  <c r="P109" i="1"/>
  <c r="O109" i="1"/>
  <c r="N109" i="1"/>
  <c r="I109" i="1"/>
  <c r="H109" i="1"/>
  <c r="Q108" i="1"/>
  <c r="P108" i="1"/>
  <c r="O108" i="1"/>
  <c r="N108" i="1"/>
  <c r="I108" i="1"/>
  <c r="H108" i="1"/>
  <c r="Q107" i="1"/>
  <c r="P107" i="1"/>
  <c r="O107" i="1"/>
  <c r="N107" i="1"/>
  <c r="I107" i="1"/>
  <c r="H107" i="1"/>
  <c r="Q106" i="1"/>
  <c r="P106" i="1"/>
  <c r="O106" i="1"/>
  <c r="N106" i="1"/>
  <c r="I106" i="1"/>
  <c r="H106" i="1"/>
  <c r="Q105" i="1"/>
  <c r="P105" i="1"/>
  <c r="O105" i="1"/>
  <c r="N105" i="1"/>
  <c r="I105" i="1"/>
  <c r="H105" i="1"/>
  <c r="Q104" i="1"/>
  <c r="P104" i="1"/>
  <c r="O104" i="1"/>
  <c r="N104" i="1"/>
  <c r="I104" i="1"/>
  <c r="H104" i="1"/>
  <c r="Q103" i="1"/>
  <c r="P103" i="1"/>
  <c r="O103" i="1"/>
  <c r="N103" i="1"/>
  <c r="I103" i="1"/>
  <c r="H103" i="1"/>
  <c r="Q102" i="1"/>
  <c r="P102" i="1"/>
  <c r="O102" i="1"/>
  <c r="N102" i="1"/>
  <c r="I102" i="1"/>
  <c r="H102" i="1"/>
  <c r="Q101" i="1"/>
  <c r="P101" i="1"/>
  <c r="O101" i="1"/>
  <c r="N101" i="1"/>
  <c r="I101" i="1"/>
  <c r="H101" i="1"/>
  <c r="Q100" i="1"/>
  <c r="P100" i="1"/>
  <c r="O100" i="1"/>
  <c r="N100" i="1"/>
  <c r="I100" i="1"/>
  <c r="H100" i="1"/>
  <c r="Q99" i="1"/>
  <c r="P99" i="1"/>
  <c r="O99" i="1"/>
  <c r="N99" i="1"/>
  <c r="I99" i="1"/>
  <c r="H99" i="1"/>
  <c r="Q98" i="1"/>
  <c r="P98" i="1"/>
  <c r="O98" i="1"/>
  <c r="N98" i="1"/>
  <c r="I98" i="1"/>
  <c r="H98" i="1"/>
  <c r="Q97" i="1"/>
  <c r="P97" i="1"/>
  <c r="O97" i="1"/>
  <c r="N97" i="1"/>
  <c r="I97" i="1"/>
  <c r="H97" i="1"/>
  <c r="Q96" i="1"/>
  <c r="P96" i="1"/>
  <c r="O96" i="1"/>
  <c r="N96" i="1"/>
  <c r="I96" i="1"/>
  <c r="H96" i="1"/>
  <c r="Q95" i="1"/>
  <c r="P95" i="1"/>
  <c r="O95" i="1"/>
  <c r="N95" i="1"/>
  <c r="I95" i="1"/>
  <c r="H95" i="1"/>
  <c r="Q94" i="1"/>
  <c r="P94" i="1"/>
  <c r="O94" i="1"/>
  <c r="N94" i="1"/>
  <c r="I94" i="1"/>
  <c r="H94" i="1"/>
  <c r="Q93" i="1"/>
  <c r="P93" i="1"/>
  <c r="O93" i="1"/>
  <c r="N93" i="1"/>
  <c r="I93" i="1"/>
  <c r="H93" i="1"/>
  <c r="Q92" i="1"/>
  <c r="P92" i="1"/>
  <c r="O92" i="1"/>
  <c r="N92" i="1"/>
  <c r="I92" i="1"/>
  <c r="H92" i="1"/>
  <c r="Q91" i="1"/>
  <c r="P91" i="1"/>
  <c r="O91" i="1"/>
  <c r="N91" i="1"/>
  <c r="I91" i="1"/>
  <c r="H91" i="1"/>
  <c r="Q90" i="1"/>
  <c r="P90" i="1"/>
  <c r="O90" i="1"/>
  <c r="N90" i="1"/>
  <c r="I90" i="1"/>
  <c r="H90" i="1"/>
  <c r="Q89" i="1"/>
  <c r="P89" i="1"/>
  <c r="O89" i="1"/>
  <c r="N89" i="1"/>
  <c r="I89" i="1"/>
  <c r="H89" i="1"/>
  <c r="Q88" i="1"/>
  <c r="P88" i="1"/>
  <c r="O88" i="1"/>
  <c r="N88" i="1"/>
  <c r="I88" i="1"/>
  <c r="H88" i="1"/>
  <c r="Q87" i="1"/>
  <c r="P87" i="1"/>
  <c r="O87" i="1"/>
  <c r="N87" i="1"/>
  <c r="I87" i="1"/>
  <c r="H87" i="1"/>
  <c r="Q86" i="1"/>
  <c r="P86" i="1"/>
  <c r="O86" i="1"/>
  <c r="N86" i="1"/>
  <c r="I86" i="1"/>
  <c r="H86" i="1"/>
  <c r="Q85" i="1"/>
  <c r="P85" i="1"/>
  <c r="O85" i="1"/>
  <c r="N85" i="1"/>
  <c r="I85" i="1"/>
  <c r="H85" i="1"/>
  <c r="Q84" i="1"/>
  <c r="P84" i="1"/>
  <c r="O84" i="1"/>
  <c r="N84" i="1"/>
  <c r="I84" i="1"/>
  <c r="H84" i="1"/>
  <c r="Q83" i="1"/>
  <c r="P83" i="1"/>
  <c r="O83" i="1"/>
  <c r="N83" i="1"/>
  <c r="I83" i="1"/>
  <c r="H83" i="1"/>
  <c r="Q82" i="1"/>
  <c r="P82" i="1"/>
  <c r="O82" i="1"/>
  <c r="N82" i="1"/>
  <c r="I82" i="1"/>
  <c r="H82" i="1"/>
  <c r="Q81" i="1"/>
  <c r="P81" i="1"/>
  <c r="O81" i="1"/>
  <c r="N81" i="1"/>
  <c r="I81" i="1"/>
  <c r="H81" i="1"/>
  <c r="Q80" i="1"/>
  <c r="P80" i="1"/>
  <c r="O80" i="1"/>
  <c r="N80" i="1"/>
  <c r="I80" i="1"/>
  <c r="H80" i="1"/>
  <c r="Q79" i="1"/>
  <c r="P79" i="1"/>
  <c r="O79" i="1"/>
  <c r="N79" i="1"/>
  <c r="I79" i="1"/>
  <c r="H79" i="1"/>
  <c r="Q78" i="1"/>
  <c r="P78" i="1"/>
  <c r="O78" i="1"/>
  <c r="N78" i="1"/>
  <c r="I78" i="1"/>
  <c r="H78" i="1"/>
  <c r="Q77" i="1"/>
  <c r="P77" i="1"/>
  <c r="O77" i="1"/>
  <c r="N77" i="1"/>
  <c r="I77" i="1"/>
  <c r="H77" i="1"/>
  <c r="Q76" i="1"/>
  <c r="P76" i="1"/>
  <c r="O76" i="1"/>
  <c r="N76" i="1"/>
  <c r="I76" i="1"/>
  <c r="H76" i="1"/>
  <c r="Q75" i="1"/>
  <c r="P75" i="1"/>
  <c r="O75" i="1"/>
  <c r="N75" i="1"/>
  <c r="I75" i="1"/>
  <c r="H75" i="1"/>
  <c r="Q74" i="1"/>
  <c r="P74" i="1"/>
  <c r="O74" i="1"/>
  <c r="N74" i="1"/>
  <c r="I74" i="1"/>
  <c r="H74" i="1"/>
  <c r="Q73" i="1"/>
  <c r="P73" i="1"/>
  <c r="O73" i="1"/>
  <c r="N73" i="1"/>
  <c r="I73" i="1"/>
  <c r="H73" i="1"/>
  <c r="Q72" i="1"/>
  <c r="P72" i="1"/>
  <c r="O72" i="1"/>
  <c r="N72" i="1"/>
  <c r="I72" i="1"/>
  <c r="H72" i="1"/>
  <c r="Q71" i="1"/>
  <c r="P71" i="1"/>
  <c r="O71" i="1"/>
  <c r="N71" i="1"/>
  <c r="I71" i="1"/>
  <c r="H71" i="1"/>
  <c r="Q70" i="1"/>
  <c r="P70" i="1"/>
  <c r="O70" i="1"/>
  <c r="N70" i="1"/>
  <c r="I70" i="1"/>
  <c r="H70" i="1"/>
  <c r="Q69" i="1"/>
  <c r="P69" i="1"/>
  <c r="O69" i="1"/>
  <c r="N69" i="1"/>
  <c r="I69" i="1"/>
  <c r="H69" i="1"/>
  <c r="Q68" i="1"/>
  <c r="P68" i="1"/>
  <c r="O68" i="1"/>
  <c r="N68" i="1"/>
  <c r="I68" i="1"/>
  <c r="H68" i="1"/>
  <c r="Q67" i="1"/>
  <c r="P67" i="1"/>
  <c r="O67" i="1"/>
  <c r="N67" i="1"/>
  <c r="I67" i="1"/>
  <c r="H67" i="1"/>
  <c r="Q66" i="1"/>
  <c r="P66" i="1"/>
  <c r="O66" i="1"/>
  <c r="N66" i="1"/>
  <c r="I66" i="1"/>
  <c r="H66" i="1"/>
  <c r="Q65" i="1"/>
  <c r="P65" i="1"/>
  <c r="O65" i="1"/>
  <c r="N65" i="1"/>
  <c r="I65" i="1"/>
  <c r="H65" i="1"/>
  <c r="Q64" i="1"/>
  <c r="P64" i="1"/>
  <c r="O64" i="1"/>
  <c r="N64" i="1"/>
  <c r="I64" i="1"/>
  <c r="H64" i="1"/>
  <c r="Q63" i="1"/>
  <c r="P63" i="1"/>
  <c r="O63" i="1"/>
  <c r="N63" i="1"/>
  <c r="I63" i="1"/>
  <c r="H63" i="1"/>
  <c r="Q62" i="1"/>
  <c r="P62" i="1"/>
  <c r="O62" i="1"/>
  <c r="N62" i="1"/>
  <c r="I62" i="1"/>
  <c r="H62" i="1"/>
  <c r="Q61" i="1"/>
  <c r="P61" i="1"/>
  <c r="O61" i="1"/>
  <c r="N61" i="1"/>
  <c r="I61" i="1"/>
  <c r="H61" i="1"/>
  <c r="Q60" i="1"/>
  <c r="P60" i="1"/>
  <c r="O60" i="1"/>
  <c r="N60" i="1"/>
  <c r="I60" i="1"/>
  <c r="H60" i="1"/>
  <c r="Q59" i="1"/>
  <c r="P59" i="1"/>
  <c r="O59" i="1"/>
  <c r="N59" i="1"/>
  <c r="I59" i="1"/>
  <c r="H59" i="1"/>
  <c r="Y58" i="1"/>
  <c r="Q58" i="1"/>
  <c r="P58" i="1"/>
  <c r="O58" i="1"/>
  <c r="N58" i="1"/>
  <c r="I58" i="1"/>
  <c r="H58" i="1"/>
  <c r="Q57" i="1"/>
  <c r="P57" i="1"/>
  <c r="O57" i="1"/>
  <c r="N57" i="1"/>
  <c r="I57" i="1"/>
  <c r="H57" i="1"/>
  <c r="Q56" i="1"/>
  <c r="P56" i="1"/>
  <c r="O56" i="1"/>
  <c r="N56" i="1"/>
  <c r="I56" i="1"/>
  <c r="H56" i="1"/>
  <c r="Q55" i="1"/>
  <c r="P55" i="1"/>
  <c r="O55" i="1"/>
  <c r="N55" i="1"/>
  <c r="I55" i="1"/>
  <c r="H55" i="1"/>
  <c r="Q54" i="1"/>
  <c r="P54" i="1"/>
  <c r="O54" i="1"/>
  <c r="N54" i="1"/>
  <c r="I54" i="1"/>
  <c r="H54" i="1"/>
  <c r="Q53" i="1"/>
  <c r="P53" i="1"/>
  <c r="O53" i="1"/>
  <c r="N53" i="1"/>
  <c r="I53" i="1"/>
  <c r="H53" i="1"/>
  <c r="Q52" i="1"/>
  <c r="P52" i="1"/>
  <c r="O52" i="1"/>
  <c r="N52" i="1"/>
  <c r="I52" i="1"/>
  <c r="H52" i="1"/>
  <c r="Q51" i="1"/>
  <c r="P51" i="1"/>
  <c r="O51" i="1"/>
  <c r="N51" i="1"/>
  <c r="I51" i="1"/>
  <c r="H51" i="1"/>
  <c r="Q50" i="1"/>
  <c r="P50" i="1"/>
  <c r="O50" i="1"/>
  <c r="N50" i="1"/>
  <c r="I50" i="1"/>
  <c r="H50" i="1"/>
  <c r="Q49" i="1"/>
  <c r="P49" i="1"/>
  <c r="O49" i="1"/>
  <c r="N49" i="1"/>
  <c r="I49" i="1"/>
  <c r="H49" i="1"/>
  <c r="R48" i="1"/>
  <c r="Q48" i="1"/>
  <c r="P48" i="1"/>
  <c r="O48" i="1"/>
  <c r="N48" i="1"/>
  <c r="I48" i="1"/>
  <c r="H48" i="1"/>
  <c r="R47" i="1"/>
  <c r="Q47" i="1"/>
  <c r="P47" i="1"/>
  <c r="O47" i="1"/>
  <c r="N47" i="1"/>
  <c r="I47" i="1"/>
  <c r="H47" i="1"/>
  <c r="R46" i="1"/>
  <c r="Q46" i="1"/>
  <c r="P46" i="1"/>
  <c r="O46" i="1"/>
  <c r="N46" i="1"/>
  <c r="I46" i="1"/>
  <c r="H46" i="1"/>
  <c r="R45" i="1"/>
  <c r="Q45" i="1"/>
  <c r="P45" i="1"/>
  <c r="O45" i="1"/>
  <c r="N45" i="1"/>
  <c r="I45" i="1"/>
  <c r="H45" i="1"/>
  <c r="Q44" i="1"/>
  <c r="P44" i="1"/>
  <c r="O44" i="1"/>
  <c r="N44" i="1"/>
  <c r="I44" i="1"/>
  <c r="H44" i="1"/>
  <c r="R43" i="1"/>
  <c r="Q43" i="1"/>
  <c r="P43" i="1"/>
  <c r="O43" i="1"/>
  <c r="N43" i="1"/>
  <c r="I43" i="1"/>
  <c r="H43" i="1"/>
  <c r="R42" i="1"/>
  <c r="Q42" i="1"/>
  <c r="P42" i="1"/>
  <c r="O42" i="1"/>
  <c r="N42" i="1"/>
  <c r="I42" i="1"/>
  <c r="H42" i="1"/>
  <c r="R41" i="1"/>
  <c r="Q41" i="1"/>
  <c r="P41" i="1"/>
  <c r="O41" i="1"/>
  <c r="N41" i="1"/>
  <c r="I41" i="1"/>
  <c r="H41" i="1"/>
  <c r="R40" i="1"/>
  <c r="Q40" i="1"/>
  <c r="P40" i="1"/>
  <c r="O40" i="1"/>
  <c r="N40" i="1"/>
  <c r="I40" i="1"/>
  <c r="H40" i="1"/>
  <c r="Q39" i="1"/>
  <c r="P39" i="1"/>
  <c r="O39" i="1"/>
  <c r="N39" i="1"/>
  <c r="I39" i="1"/>
  <c r="H39" i="1"/>
  <c r="Y38" i="1"/>
  <c r="U38" i="1"/>
  <c r="Q38" i="1"/>
  <c r="P38" i="1"/>
  <c r="O38" i="1"/>
  <c r="N38" i="1"/>
  <c r="I38" i="1"/>
  <c r="H38" i="1"/>
  <c r="Y37" i="1"/>
  <c r="Q37" i="1"/>
  <c r="P37" i="1"/>
  <c r="O37" i="1"/>
  <c r="N37" i="1"/>
  <c r="I37" i="1"/>
  <c r="H37" i="1"/>
  <c r="T36" i="1"/>
  <c r="Q36" i="1"/>
  <c r="P36" i="1"/>
  <c r="O36" i="1"/>
  <c r="N36" i="1"/>
  <c r="I36" i="1"/>
  <c r="H36" i="1"/>
  <c r="Q35" i="1"/>
  <c r="P35" i="1"/>
  <c r="O35" i="1"/>
  <c r="N35" i="1"/>
  <c r="I35" i="1"/>
  <c r="H35" i="1"/>
  <c r="T34" i="1"/>
  <c r="Q34" i="1"/>
  <c r="P34" i="1"/>
  <c r="O34" i="1"/>
  <c r="N34" i="1"/>
  <c r="I34" i="1"/>
  <c r="H34" i="1"/>
  <c r="R33" i="1"/>
  <c r="Q33" i="1"/>
  <c r="P33" i="1"/>
  <c r="O33" i="1"/>
  <c r="N33" i="1"/>
  <c r="I33" i="1"/>
  <c r="H33" i="1"/>
  <c r="T32" i="1"/>
  <c r="R32" i="1"/>
  <c r="Q32" i="1"/>
  <c r="P32" i="1"/>
  <c r="O32" i="1"/>
  <c r="N32" i="1"/>
  <c r="I32" i="1"/>
  <c r="H32" i="1"/>
  <c r="AE31" i="1"/>
  <c r="AC31" i="1"/>
  <c r="AA31" i="1"/>
  <c r="W31" i="1"/>
  <c r="Q31" i="1"/>
  <c r="P31" i="1"/>
  <c r="O31" i="1"/>
  <c r="N31" i="1"/>
  <c r="I31" i="1"/>
  <c r="H31" i="1"/>
  <c r="AE30" i="1"/>
  <c r="AC30" i="1"/>
  <c r="AA30" i="1"/>
  <c r="W30" i="1"/>
  <c r="T30" i="1"/>
  <c r="Q30" i="1"/>
  <c r="P30" i="1"/>
  <c r="O30" i="1"/>
  <c r="N30" i="1"/>
  <c r="I30" i="1"/>
  <c r="H30" i="1"/>
  <c r="W29" i="1"/>
  <c r="R29" i="1"/>
  <c r="Q29" i="1"/>
  <c r="P29" i="1"/>
  <c r="O29" i="1"/>
  <c r="N29" i="1"/>
  <c r="I29" i="1"/>
  <c r="H29" i="1"/>
  <c r="W28" i="1"/>
  <c r="T28" i="1"/>
  <c r="R28" i="1"/>
  <c r="Q28" i="1"/>
  <c r="P28" i="1"/>
  <c r="O28" i="1"/>
  <c r="N28" i="1"/>
  <c r="I28" i="1"/>
  <c r="H28" i="1"/>
  <c r="AE27" i="1"/>
  <c r="AC27" i="1"/>
  <c r="AA27" i="1"/>
  <c r="X27" i="1"/>
  <c r="Q27" i="1"/>
  <c r="P27" i="1"/>
  <c r="O27" i="1"/>
  <c r="N27" i="1"/>
  <c r="I27" i="1"/>
  <c r="H27" i="1"/>
  <c r="AE26" i="1"/>
  <c r="AC26" i="1"/>
  <c r="AA26" i="1"/>
  <c r="X26" i="1"/>
  <c r="T26" i="1"/>
  <c r="Q26" i="1"/>
  <c r="P26" i="1"/>
  <c r="O26" i="1"/>
  <c r="N26" i="1"/>
  <c r="I26" i="1"/>
  <c r="H26" i="1"/>
  <c r="X25" i="1"/>
  <c r="R25" i="1"/>
  <c r="Q25" i="1"/>
  <c r="P25" i="1"/>
  <c r="O25" i="1"/>
  <c r="N25" i="1"/>
  <c r="I25" i="1"/>
  <c r="H25" i="1"/>
  <c r="T24" i="1"/>
  <c r="R24" i="1"/>
  <c r="Q24" i="1"/>
  <c r="P24" i="1"/>
  <c r="O24" i="1"/>
  <c r="N24" i="1"/>
  <c r="I24" i="1"/>
  <c r="H24" i="1"/>
  <c r="AE23" i="1"/>
  <c r="AC23" i="1"/>
  <c r="AA23" i="1"/>
  <c r="W23" i="1"/>
  <c r="Q23" i="1"/>
  <c r="P23" i="1"/>
  <c r="O23" i="1"/>
  <c r="N23" i="1"/>
  <c r="I23" i="1"/>
  <c r="H23" i="1"/>
  <c r="AE22" i="1"/>
  <c r="AC22" i="1"/>
  <c r="AA22" i="1"/>
  <c r="T22" i="1"/>
  <c r="Q22" i="1"/>
  <c r="P22" i="1"/>
  <c r="O22" i="1"/>
  <c r="N22" i="1"/>
  <c r="I22" i="1"/>
  <c r="H22" i="1"/>
  <c r="W21" i="1"/>
  <c r="R21" i="1"/>
  <c r="Q21" i="1"/>
  <c r="P21" i="1"/>
  <c r="O21" i="1"/>
  <c r="N21" i="1"/>
  <c r="I21" i="1"/>
  <c r="H21" i="1"/>
  <c r="T20" i="1"/>
  <c r="R20" i="1"/>
  <c r="Q20" i="1"/>
  <c r="P20" i="1"/>
  <c r="O20" i="1"/>
  <c r="N20" i="1"/>
  <c r="I20" i="1"/>
  <c r="H20" i="1"/>
  <c r="AE19" i="1"/>
  <c r="AC19" i="1"/>
  <c r="AA19" i="1"/>
  <c r="Q19" i="1"/>
  <c r="P19" i="1"/>
  <c r="O19" i="1"/>
  <c r="N19" i="1"/>
  <c r="I19" i="1"/>
  <c r="H19" i="1"/>
  <c r="AE18" i="1"/>
  <c r="AC18" i="1"/>
  <c r="AA18" i="1"/>
  <c r="X18" i="1"/>
  <c r="Q18" i="1"/>
  <c r="P18" i="1"/>
  <c r="O18" i="1"/>
  <c r="N18" i="1"/>
  <c r="I18" i="1"/>
  <c r="H18" i="1"/>
  <c r="X17" i="1"/>
  <c r="W17" i="1"/>
  <c r="T17" i="1"/>
  <c r="R17" i="1"/>
  <c r="Q17" i="1"/>
  <c r="P17" i="1"/>
  <c r="O17" i="1"/>
  <c r="N17" i="1"/>
  <c r="I17" i="1"/>
  <c r="H17" i="1"/>
  <c r="R16" i="1"/>
  <c r="Q16" i="1"/>
  <c r="P16" i="1"/>
  <c r="O16" i="1"/>
  <c r="N16" i="1"/>
  <c r="I16" i="1"/>
  <c r="H16" i="1"/>
  <c r="W15" i="1"/>
  <c r="T15" i="1"/>
  <c r="R15" i="1"/>
  <c r="Q15" i="1"/>
  <c r="P15" i="1"/>
  <c r="O15" i="1"/>
  <c r="N15" i="1"/>
  <c r="I15" i="1"/>
  <c r="H15" i="1"/>
  <c r="W14" i="1"/>
  <c r="R14" i="1"/>
  <c r="Q14" i="1"/>
  <c r="P14" i="1"/>
  <c r="O14" i="1"/>
  <c r="N14" i="1"/>
  <c r="I14" i="1"/>
  <c r="H14" i="1"/>
  <c r="AF13" i="1"/>
  <c r="W13" i="1"/>
  <c r="T13" i="1"/>
  <c r="Q13" i="1"/>
  <c r="P13" i="1"/>
  <c r="O13" i="1"/>
  <c r="N13" i="1"/>
  <c r="I13" i="1"/>
  <c r="H13" i="1"/>
  <c r="AG12" i="1"/>
  <c r="AF12" i="1"/>
  <c r="Q12" i="1"/>
  <c r="P12" i="1"/>
  <c r="O12" i="1"/>
  <c r="N12" i="1"/>
  <c r="I12" i="1"/>
  <c r="H12" i="1"/>
  <c r="AE11" i="1"/>
  <c r="W11" i="1"/>
  <c r="R11" i="1"/>
  <c r="Q11" i="1"/>
  <c r="P11" i="1"/>
  <c r="O11" i="1"/>
  <c r="N11" i="1"/>
  <c r="I11" i="1"/>
  <c r="H11" i="1"/>
  <c r="AE10" i="1"/>
  <c r="W10" i="1"/>
  <c r="T10" i="1"/>
  <c r="R10" i="1"/>
  <c r="Q10" i="1"/>
  <c r="P10" i="1"/>
  <c r="O10" i="1"/>
  <c r="N10" i="1"/>
  <c r="I10" i="1"/>
  <c r="H10" i="1"/>
  <c r="AE9" i="1"/>
  <c r="W9" i="1"/>
  <c r="T9" i="1"/>
  <c r="R9" i="1"/>
  <c r="Q9" i="1"/>
  <c r="P9" i="1"/>
  <c r="O9" i="1"/>
  <c r="N9" i="1"/>
  <c r="I9" i="1"/>
  <c r="H9" i="1"/>
  <c r="AE8" i="1"/>
  <c r="T8" i="1"/>
  <c r="R8" i="1"/>
  <c r="Q8" i="1"/>
  <c r="P8" i="1"/>
  <c r="O8" i="1"/>
  <c r="N8" i="1"/>
  <c r="I8" i="1"/>
  <c r="H8" i="1"/>
  <c r="Q7" i="1"/>
  <c r="P7" i="1"/>
  <c r="O7" i="1"/>
  <c r="N7" i="1"/>
  <c r="I7" i="1"/>
  <c r="H7" i="1"/>
  <c r="W6" i="1"/>
  <c r="T6" i="1"/>
  <c r="Q6" i="1"/>
  <c r="P6" i="1"/>
  <c r="O6" i="1"/>
  <c r="N6" i="1"/>
  <c r="I6" i="1"/>
  <c r="H6" i="1"/>
  <c r="W5" i="1"/>
  <c r="T5" i="1"/>
  <c r="R5" i="1"/>
  <c r="Q5" i="1"/>
  <c r="P5" i="1"/>
  <c r="O5" i="1"/>
  <c r="N5" i="1"/>
  <c r="I5" i="1"/>
  <c r="H5" i="1"/>
  <c r="W4" i="1"/>
  <c r="T4" i="1"/>
  <c r="R4" i="1"/>
  <c r="Q4" i="1"/>
  <c r="P4" i="1"/>
  <c r="O4" i="1"/>
  <c r="N4" i="1"/>
  <c r="I4" i="1"/>
  <c r="H4" i="1"/>
  <c r="R3" i="1"/>
  <c r="Q3" i="1"/>
  <c r="P3" i="1"/>
  <c r="O3" i="1"/>
  <c r="N3" i="1"/>
  <c r="I3" i="1"/>
  <c r="H3" i="1"/>
  <c r="Q2" i="1"/>
  <c r="P2" i="1"/>
  <c r="O2" i="1"/>
  <c r="N2" i="1"/>
  <c r="I2" i="1"/>
  <c r="H2" i="1"/>
  <c r="B6" i="14"/>
  <c r="B5" i="14"/>
  <c r="B4" i="14"/>
  <c r="B3" i="14"/>
  <c r="L14" i="12"/>
  <c r="L13" i="12"/>
  <c r="L12" i="12"/>
  <c r="L11" i="12"/>
</calcChain>
</file>

<file path=xl/sharedStrings.xml><?xml version="1.0" encoding="utf-8"?>
<sst xmlns="http://schemas.openxmlformats.org/spreadsheetml/2006/main" count="1499" uniqueCount="196">
  <si>
    <t>species</t>
  </si>
  <si>
    <t>island</t>
  </si>
  <si>
    <t>culmen_length_mm</t>
  </si>
  <si>
    <t>culmen_depth_mm</t>
  </si>
  <si>
    <t>flipper_length_mm</t>
  </si>
  <si>
    <t>body_mass_g</t>
  </si>
  <si>
    <t>sex</t>
  </si>
  <si>
    <t>Adelie</t>
  </si>
  <si>
    <t>Torgersen</t>
  </si>
  <si>
    <t>MALE</t>
  </si>
  <si>
    <t>FEMALE</t>
  </si>
  <si>
    <t>Biscoe</t>
  </si>
  <si>
    <t>Dream</t>
  </si>
  <si>
    <t>Chinstrap</t>
  </si>
  <si>
    <t>Gentoo</t>
  </si>
  <si>
    <t>MALES</t>
  </si>
  <si>
    <t>FEMALES</t>
  </si>
  <si>
    <t>TOTAL</t>
  </si>
  <si>
    <t xml:space="preserve">              SEX</t>
  </si>
  <si>
    <t xml:space="preserve">               ISLAND</t>
  </si>
  <si>
    <t xml:space="preserve">             Species</t>
  </si>
  <si>
    <t>adelie</t>
  </si>
  <si>
    <t xml:space="preserve">         Culmen_length</t>
  </si>
  <si>
    <t xml:space="preserve">        culmen_depth</t>
  </si>
  <si>
    <t xml:space="preserve">         flipper_length</t>
  </si>
  <si>
    <t>male penguins by species</t>
  </si>
  <si>
    <t>female penguins by species</t>
  </si>
  <si>
    <t xml:space="preserve">               Adelie</t>
  </si>
  <si>
    <t xml:space="preserve">              Gentoo</t>
  </si>
  <si>
    <t xml:space="preserve">          chinstrap</t>
  </si>
  <si>
    <t>SUM</t>
  </si>
  <si>
    <t>BLANK</t>
  </si>
  <si>
    <t>Adelie VS Torgersen</t>
  </si>
  <si>
    <t>Adelie VS Dream</t>
  </si>
  <si>
    <t>Adelie VS Biscoe</t>
  </si>
  <si>
    <t>Chinstrap VS Biscoe</t>
  </si>
  <si>
    <t>Chinstrap VS Dream</t>
  </si>
  <si>
    <t>Gentoo VS Torgersen</t>
  </si>
  <si>
    <t>Chinstrap VS Torgersen</t>
  </si>
  <si>
    <t>Gentoo VS Dream</t>
  </si>
  <si>
    <t>Gentoo VS Biscoe</t>
  </si>
  <si>
    <t>3.Island + Sex</t>
  </si>
  <si>
    <t xml:space="preserve">1.Species+sex </t>
  </si>
  <si>
    <t xml:space="preserve">2. Species + Island </t>
  </si>
  <si>
    <t>Missing sex by species</t>
  </si>
  <si>
    <t>NONE</t>
  </si>
  <si>
    <t>mean,median,25%,75%</t>
  </si>
  <si>
    <t>culmen_depth</t>
  </si>
  <si>
    <t>Mean</t>
  </si>
  <si>
    <t>median</t>
  </si>
  <si>
    <t>culmen_length</t>
  </si>
  <si>
    <t>mean</t>
  </si>
  <si>
    <t xml:space="preserve">Chinstrap </t>
  </si>
  <si>
    <t>max</t>
  </si>
  <si>
    <t>min</t>
  </si>
  <si>
    <t>chinstarp</t>
  </si>
  <si>
    <t xml:space="preserve">        QUIZ 1</t>
  </si>
  <si>
    <t>Row Labels</t>
  </si>
  <si>
    <t>Grand Total</t>
  </si>
  <si>
    <t>Average of body_mass_g</t>
  </si>
  <si>
    <t>1.Which species has the heaviest individual penguin?”
2.Which species has the heaviest individual penguin- MAX.</t>
  </si>
  <si>
    <t>4.What percentage of the total dataset is Adelie?</t>
  </si>
  <si>
    <t>3.Which island has the largest average flipper length?
3.Which island has the largest average flipper length?</t>
  </si>
  <si>
    <t>5.Which species has the widest body mass range?</t>
  </si>
  <si>
    <t>6.Are heavier penguins generally associated with longer flippers?</t>
  </si>
  <si>
    <t>7.Which species has the deepest average culmen depth?</t>
  </si>
  <si>
    <t>8.How many penguins are above their species’ midpoint body mass?</t>
  </si>
  <si>
    <t>10.Is any island dominated (over 60%) by a single species?</t>
  </si>
  <si>
    <t xml:space="preserve">               CORE ANALYST QUESTIONS</t>
  </si>
  <si>
    <t>QUIZ 1.1</t>
  </si>
  <si>
    <t>Column Labels</t>
  </si>
  <si>
    <t>Average of flipper_length_mm</t>
  </si>
  <si>
    <r>
      <t xml:space="preserve">      </t>
    </r>
    <r>
      <rPr>
        <b/>
        <sz val="11"/>
        <color rgb="FF7030A0"/>
        <rFont val="Calibri"/>
        <family val="2"/>
        <scheme val="minor"/>
      </rPr>
      <t>QUIZ 3</t>
    </r>
  </si>
  <si>
    <t>Count of species</t>
  </si>
  <si>
    <t>STRONG</t>
  </si>
  <si>
    <t>QUIZ 6</t>
  </si>
  <si>
    <t>GENTOO</t>
  </si>
  <si>
    <t>CHIN</t>
  </si>
  <si>
    <t>ADE</t>
  </si>
  <si>
    <t xml:space="preserve">           body_mass</t>
  </si>
  <si>
    <t>YES</t>
  </si>
  <si>
    <t>NO</t>
  </si>
  <si>
    <r>
      <rPr>
        <b/>
        <sz val="11"/>
        <color rgb="FF7030A0"/>
        <rFont val="Calibri"/>
        <family val="2"/>
        <scheme val="minor"/>
      </rPr>
      <t>QUIZ8</t>
    </r>
    <r>
      <rPr>
        <sz val="11"/>
        <color theme="4"/>
        <rFont val="Calibri"/>
        <family val="2"/>
        <scheme val="minor"/>
      </rPr>
      <t xml:space="preserve">     </t>
    </r>
  </si>
  <si>
    <t xml:space="preserve"> MIDPOINT</t>
  </si>
  <si>
    <t>1.Which species has the heaviest individual penguin?”</t>
  </si>
  <si>
    <t>1.1.Which species has the highest average body mass?</t>
  </si>
  <si>
    <t>Max of body_mass_g</t>
  </si>
  <si>
    <t>2.Within each species, are males heavier than females?</t>
  </si>
  <si>
    <t>3.Which island has the largest average flipper length?</t>
  </si>
  <si>
    <t>Min of body_mass_g2</t>
  </si>
  <si>
    <t>Range</t>
  </si>
  <si>
    <r>
      <t>6.Are heavier penguins generally associated with longer flippers?</t>
    </r>
    <r>
      <rPr>
        <b/>
        <sz val="11"/>
        <color theme="1"/>
        <rFont val="Calibri"/>
        <family val="2"/>
        <scheme val="minor"/>
      </rPr>
      <t>YES</t>
    </r>
  </si>
  <si>
    <t>Average of culmen_length_mm</t>
  </si>
  <si>
    <t>No</t>
  </si>
  <si>
    <t>Yes</t>
  </si>
  <si>
    <t>Count of body_mass_g</t>
  </si>
  <si>
    <t xml:space="preserve">
</t>
  </si>
  <si>
    <t>9.What proportion of Gentoo penguins are classified as Large using midpoint logic</t>
  </si>
  <si>
    <t>Q9</t>
  </si>
  <si>
    <t>11. Show the count of penguins by Species and Gender in one view.</t>
  </si>
  <si>
    <t>12. Compare average body mass across islands and species simultaneously.</t>
  </si>
  <si>
    <t>13. Which island has the highest average male body mass?</t>
  </si>
  <si>
    <t xml:space="preserve">14. What is the minimum and maximum flipper length per species? </t>
  </si>
  <si>
    <t>15. Rank species by average culmen length.</t>
  </si>
  <si>
    <t>17. Filter the dataset to show only penguins heavier than 5000g and summarize by island.</t>
  </si>
  <si>
    <t>18. Group body mass into numeric ranges and count how many fall in each range</t>
  </si>
  <si>
    <t>Count of sex</t>
  </si>
  <si>
    <t>12. Compare avg body mass across islands and species simultaneously.</t>
  </si>
  <si>
    <t>14. What is the min and max flipper length per species?</t>
  </si>
  <si>
    <t>Max of flipper_length_mm</t>
  </si>
  <si>
    <t>Min of flipper_length_mm2</t>
  </si>
  <si>
    <t>16. Show body mass as percentage of total by species</t>
  </si>
  <si>
    <t xml:space="preserve">  </t>
  </si>
  <si>
    <t>SECTION 2 — Visualization &amp; Storytelling</t>
  </si>
  <si>
    <t>19.comparing average body mass across Species</t>
  </si>
  <si>
    <t>21.Gender distribution per Species (visual)</t>
  </si>
  <si>
    <t>22.Body mass vs Flipper length</t>
  </si>
  <si>
    <t>23.Best chart to show species share of dataset</t>
  </si>
  <si>
    <t>25.Create dynamic chart using slicer</t>
  </si>
  <si>
    <t>20.Visual ranking of Islands by average flipper length</t>
  </si>
  <si>
    <t xml:space="preserve">Biscoe has the highest avg flipper length suggesting  </t>
  </si>
  <si>
    <t>species composition difference compared to other islands</t>
  </si>
  <si>
    <t>24.Highlight top 10 heaviest penguins visually</t>
  </si>
  <si>
    <t>SECTION 3 — Conditional Formatting Intelligence</t>
  </si>
  <si>
    <t>26.Highlight penguins above species midpoint</t>
  </si>
  <si>
    <t>27.Highlight top 5% heaviest penguins</t>
  </si>
  <si>
    <t xml:space="preserve"> Avg body mass  abv midpoint</t>
  </si>
  <si>
    <t>Count of  Avg body mass  abv midpoint</t>
  </si>
  <si>
    <t>28. Create a species size classification table</t>
  </si>
  <si>
    <t>29. Assign islands a region type using lookup</t>
  </si>
  <si>
    <t>30. Automatically return midpoint per species</t>
  </si>
  <si>
    <t>31.Create a composite score using thresholds</t>
  </si>
  <si>
    <t>Species2</t>
  </si>
  <si>
    <t>Size Class</t>
  </si>
  <si>
    <t>Small</t>
  </si>
  <si>
    <t>Medium</t>
  </si>
  <si>
    <t>Large</t>
  </si>
  <si>
    <t>Island2</t>
  </si>
  <si>
    <t>Region</t>
  </si>
  <si>
    <t>West</t>
  </si>
  <si>
    <t>Central</t>
  </si>
  <si>
    <t>East</t>
  </si>
  <si>
    <t>Size</t>
  </si>
  <si>
    <t>Regions</t>
  </si>
  <si>
    <t>Midpoints</t>
  </si>
  <si>
    <t xml:space="preserve">                        FLIPPER LENGTH</t>
  </si>
  <si>
    <t xml:space="preserve">                       CULMEN DEPTH</t>
  </si>
  <si>
    <t xml:space="preserve">                     CULMEN LENGTH</t>
  </si>
  <si>
    <t xml:space="preserve">                           BODY MASS</t>
  </si>
  <si>
    <t>how about we combine the 2 formulas together?</t>
  </si>
  <si>
    <t>Composite score</t>
  </si>
  <si>
    <t>32.If a penguin is Gentoo, what is its Size Class?</t>
  </si>
  <si>
    <t>33.If a penguin is on Dream,What's it's region?</t>
  </si>
  <si>
    <t>34.What size class is a Chinstrap penguin?</t>
  </si>
  <si>
    <t>35.What region is Biscoe island?</t>
  </si>
  <si>
    <t>36.What's the size and region of an Adelie in Torgersen</t>
  </si>
  <si>
    <t>SECTION 4— Lookup &amp; Classification Systems</t>
  </si>
  <si>
    <t>SECTION 5-ANALYTICAL DEPTH AND STATISTICS</t>
  </si>
  <si>
    <t>37.Which numeric variable best separates species?</t>
  </si>
  <si>
    <t>38.Is dataset balanced across species?</t>
  </si>
  <si>
    <t xml:space="preserve">39.Is body mass distribution skewed? </t>
  </si>
  <si>
    <t>40. Does gender impact culmen length significantly?</t>
  </si>
  <si>
    <t>SECTION 6-EXECUTIVE DASHBOARD &amp; KPI DESIGN</t>
  </si>
  <si>
    <t>42.Define KPIs</t>
  </si>
  <si>
    <t>43. Build management summary sheet</t>
  </si>
  <si>
    <t>44.Add slicers</t>
  </si>
  <si>
    <t>45.Properly clean layout and presentation design</t>
  </si>
  <si>
    <t>46.Build one-page executive dashboard</t>
  </si>
  <si>
    <t>Average of culmen_depth_mm</t>
  </si>
  <si>
    <t>No.the species count are not equal.Adelie appears more often.</t>
  </si>
  <si>
    <t>39.Is body mass distribution skewed?</t>
  </si>
  <si>
    <t>Method1</t>
  </si>
  <si>
    <t>MEAN</t>
  </si>
  <si>
    <t>MEDIAN</t>
  </si>
  <si>
    <t>If mean&gt;median=right skewed</t>
  </si>
  <si>
    <t>If median&gt;mean=left skewed</t>
  </si>
  <si>
    <t>if mean=median=symmetrical</t>
  </si>
  <si>
    <r>
      <t>Does the body mass data lean more to one side of the distribution?</t>
    </r>
    <r>
      <rPr>
        <sz val="11"/>
        <color theme="9"/>
        <rFont val="Calibri"/>
        <family val="2"/>
        <scheme val="minor"/>
      </rPr>
      <t>YES.To the Right side</t>
    </r>
  </si>
  <si>
    <t>method2:Histogram</t>
  </si>
  <si>
    <t>more values on the lower side+a tail to the right</t>
  </si>
  <si>
    <t>(blank)</t>
  </si>
  <si>
    <r>
      <t>40.Does gender impact culmen length significantly?</t>
    </r>
    <r>
      <rPr>
        <b/>
        <sz val="11"/>
        <color theme="9"/>
        <rFont val="Calibri"/>
        <family val="2"/>
        <scheme val="minor"/>
      </rPr>
      <t>YES.Males have higher than females</t>
    </r>
  </si>
  <si>
    <t>Size Index</t>
  </si>
  <si>
    <r>
      <t>41.Create composite size index=</t>
    </r>
    <r>
      <rPr>
        <sz val="11"/>
        <color theme="9"/>
        <rFont val="Calibri"/>
        <family val="2"/>
        <scheme val="minor"/>
      </rPr>
      <t>adding all the numericals.we have 3 then we didvide by 3</t>
    </r>
  </si>
  <si>
    <r>
      <rPr>
        <sz val="11"/>
        <color rgb="FFFF0000"/>
        <rFont val="Calibri"/>
        <family val="2"/>
        <scheme val="minor"/>
      </rPr>
      <t>42.KPIs-</t>
    </r>
    <r>
      <rPr>
        <sz val="11"/>
        <color theme="9"/>
        <rFont val="Calibri"/>
        <family val="2"/>
        <scheme val="minor"/>
      </rPr>
      <t>Key Performance Indicators-They are key metrics that summarize performance or rather insights for decision-making</t>
    </r>
  </si>
  <si>
    <t>Management Summary</t>
  </si>
  <si>
    <t>Heaviest Penguin</t>
  </si>
  <si>
    <t>Avg Flipper Length</t>
  </si>
  <si>
    <t>%&gt;5000g</t>
  </si>
  <si>
    <t>Avg Body Mass</t>
  </si>
  <si>
    <t>Dataset Balance</t>
  </si>
  <si>
    <t>Dataset bal in DASHBOARD SHEET</t>
  </si>
  <si>
    <t>Imbalanced(Y58 has the formula)</t>
  </si>
  <si>
    <t>Percentage of dataset per island</t>
  </si>
  <si>
    <t>PENGUINS MANAGEMENT DASHBOARD</t>
  </si>
  <si>
    <r>
      <rPr>
        <u/>
        <sz val="11"/>
        <rFont val="Calibri"/>
        <family val="2"/>
        <scheme val="minor"/>
      </rPr>
      <t>Final Remarks — Penguin Dataset Analysis</t>
    </r>
    <r>
      <rPr>
        <sz val="11"/>
        <color theme="1"/>
        <rFont val="Calibri"/>
        <family val="2"/>
        <scheme val="minor"/>
      </rPr>
      <t xml:space="preserve">
This dashboard provides a comprehensive analysis of the penguin dataset, focusing on species characteristics, size distribution, and key biological differences.
 Key Insights
Species Variation:
There are clear differences across species, with Gentoo penguins exhibiting significantly higher body mass and flipper length, making them the largest among the groups.
Best Separating Variable:
Flipper length emerges as the most effective variable in distinguishing between species due to its clear separation across categories.
Gender Impact:
Male penguins generally show higher culmen length values, indicating noticeable biological differences between genders.
Distribution Imbalance:
The dataset is imbalanced across species, with some species (e.g., Adelie) appearing more frequently than others, which is important for any further analysis or modeling.
Body Mass Distribution:
The data shows a right-skewed distribution, driven by heavier penguins, particularly the Gentoo species.
Data Quality &amp; Structure
Missing values were identified and highlighted, improving awareness of data completeness.
Duplicate checks and validation rules ensured data reliability.
Lookup and classification systems enhanced structure and usability of the dataset.
Analytical Enhancements
A composite size index was created to summarize multiple physical attributes into a single metric.
Conditional formatting techniques were applied for quick visual diagnostics.
Interactive filtering using slicers allows dynamic exploration by species, gender, and island.
Dashboard Value
The final dashboard provides:
A clear management summary through KPIs
Interactive charts for comparison and pattern recognition
A clean, one-page layout suitable for decision-making
 Conclusion
This analysis demonstrates how raw biological data can be transformed into meaningful insights through structured analysis, visualization, and interactivity.
The dashboard enables users to quickly understand species differences, identify patterns, and explore the dataset dynamically, making it a valuable tool for both exploratory and presentation purposes.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</si>
</sst>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
  </numFmts>
  <fonts count="3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70C0"/>
      <name val="Calibri"/>
      <family val="2"/>
      <scheme val="minor"/>
    </font>
    <font>
      <sz val="11"/>
      <color theme="4"/>
      <name val="Calibri"/>
      <family val="2"/>
      <scheme val="minor"/>
    </font>
    <font>
      <sz val="11"/>
      <name val="Calibri"/>
      <family val="2"/>
      <scheme val="minor"/>
    </font>
    <font>
      <sz val="11"/>
      <color theme="8"/>
      <name val="Calibri"/>
      <family val="2"/>
      <scheme val="minor"/>
    </font>
    <font>
      <b/>
      <sz val="11"/>
      <color rgb="FF7030A0"/>
      <name val="Calibri"/>
      <family val="2"/>
      <scheme val="minor"/>
    </font>
    <font>
      <sz val="11"/>
      <color rgb="FF7030A0"/>
      <name val="Calibri"/>
      <family val="2"/>
      <scheme val="minor"/>
    </font>
    <font>
      <sz val="10"/>
      <color theme="1"/>
      <name val="Calibri"/>
      <family val="2"/>
      <scheme val="minor"/>
    </font>
    <font>
      <b/>
      <sz val="11"/>
      <color rgb="FFFF0000"/>
      <name val="Calibri"/>
      <family val="2"/>
      <scheme val="minor"/>
    </font>
    <font>
      <sz val="11"/>
      <color theme="7"/>
      <name val="Calibri"/>
      <family val="2"/>
      <scheme val="minor"/>
    </font>
    <font>
      <sz val="11"/>
      <color theme="9"/>
      <name val="Calibri"/>
      <family val="2"/>
      <scheme val="minor"/>
    </font>
    <font>
      <b/>
      <sz val="11"/>
      <color theme="9"/>
      <name val="Calibri"/>
      <family val="2"/>
      <scheme val="minor"/>
    </font>
    <font>
      <b/>
      <sz val="16"/>
      <color theme="1"/>
      <name val="Arial Black"/>
      <family val="2"/>
    </font>
    <font>
      <u/>
      <sz val="11"/>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
      <patternFill patternType="solid">
        <fgColor theme="7"/>
        <bgColor indexed="64"/>
      </patternFill>
    </fill>
    <fill>
      <patternFill patternType="solid">
        <fgColor theme="9"/>
        <bgColor indexed="64"/>
      </patternFill>
    </fill>
    <fill>
      <patternFill patternType="solid">
        <fgColor rgb="FFFFC000"/>
        <bgColor indexed="64"/>
      </patternFill>
    </fill>
    <fill>
      <patternFill patternType="solid">
        <fgColor theme="2"/>
        <bgColor indexed="64"/>
      </patternFill>
    </fill>
    <fill>
      <patternFill patternType="solid">
        <fgColor theme="5"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ABABAB"/>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rgb="FF3F3F3F"/>
      </left>
      <right/>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91">
    <xf numFmtId="0" fontId="0" fillId="0" borderId="0" xfId="0"/>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37" borderId="0" xfId="0" applyFill="1"/>
    <xf numFmtId="0" fontId="14" fillId="0" borderId="0" xfId="0" applyFont="1"/>
    <xf numFmtId="10" fontId="0" fillId="37" borderId="0" xfId="0" applyNumberFormat="1" applyFill="1"/>
    <xf numFmtId="0" fontId="16" fillId="0" borderId="0" xfId="0" applyFont="1"/>
    <xf numFmtId="10" fontId="0" fillId="0" borderId="0" xfId="0" applyNumberFormat="1" applyAlignment="1">
      <alignment horizontal="left"/>
    </xf>
    <xf numFmtId="10" fontId="0" fillId="35" borderId="0" xfId="0" applyNumberFormat="1" applyFill="1" applyAlignment="1">
      <alignment horizontal="left"/>
    </xf>
    <xf numFmtId="0" fontId="0" fillId="35" borderId="11" xfId="0" applyFill="1" applyBorder="1"/>
    <xf numFmtId="0" fontId="0" fillId="34" borderId="11" xfId="0" applyFill="1" applyBorder="1"/>
    <xf numFmtId="0" fontId="22" fillId="34" borderId="11" xfId="0" applyFont="1" applyFill="1" applyBorder="1"/>
    <xf numFmtId="0" fontId="0" fillId="0" borderId="11" xfId="0" applyBorder="1"/>
    <xf numFmtId="0" fontId="21" fillId="34" borderId="11" xfId="0" applyFont="1" applyFill="1" applyBorder="1"/>
    <xf numFmtId="0" fontId="22" fillId="0" borderId="11" xfId="0" applyFont="1" applyBorder="1"/>
    <xf numFmtId="0" fontId="0" fillId="0" borderId="11" xfId="0" applyBorder="1" applyAlignment="1">
      <alignment wrapText="1"/>
    </xf>
    <xf numFmtId="0" fontId="21" fillId="0" borderId="11" xfId="0" applyFont="1" applyBorder="1"/>
    <xf numFmtId="0" fontId="19" fillId="0" borderId="11" xfId="0" applyFont="1" applyBorder="1"/>
    <xf numFmtId="0" fontId="0" fillId="38" borderId="11" xfId="0" applyFill="1" applyBorder="1"/>
    <xf numFmtId="0" fontId="22" fillId="38" borderId="11" xfId="0" applyFont="1" applyFill="1" applyBorder="1"/>
    <xf numFmtId="164" fontId="0" fillId="0" borderId="11" xfId="0" applyNumberFormat="1" applyBorder="1"/>
    <xf numFmtId="0" fontId="0" fillId="0" borderId="11" xfId="0" applyBorder="1" applyAlignment="1">
      <alignment horizontal="right" vertical="top" indent="5"/>
    </xf>
    <xf numFmtId="0" fontId="23" fillId="0" borderId="11" xfId="0" applyFont="1" applyBorder="1" applyAlignment="1">
      <alignment horizontal="right" vertical="top" indent="5"/>
    </xf>
    <xf numFmtId="43" fontId="0" fillId="0" borderId="11" xfId="42" applyFont="1" applyBorder="1"/>
    <xf numFmtId="9" fontId="19" fillId="0" borderId="11" xfId="43" applyFont="1" applyBorder="1"/>
    <xf numFmtId="0" fontId="22" fillId="0" borderId="11" xfId="0" applyFont="1" applyBorder="1" applyAlignment="1">
      <alignment horizontal="center"/>
    </xf>
    <xf numFmtId="0" fontId="0" fillId="0" borderId="11" xfId="0" applyBorder="1" applyAlignment="1">
      <alignment horizontal="right"/>
    </xf>
    <xf numFmtId="0" fontId="0" fillId="33" borderId="11" xfId="0" applyFill="1" applyBorder="1"/>
    <xf numFmtId="9" fontId="21" fillId="0" borderId="11" xfId="43" applyFont="1" applyBorder="1"/>
    <xf numFmtId="9" fontId="0" fillId="0" borderId="11" xfId="0" applyNumberFormat="1" applyBorder="1"/>
    <xf numFmtId="0" fontId="0" fillId="34" borderId="12" xfId="0" applyFill="1" applyBorder="1"/>
    <xf numFmtId="0" fontId="0" fillId="34" borderId="13" xfId="0" applyFill="1" applyBorder="1"/>
    <xf numFmtId="0" fontId="26" fillId="34" borderId="14" xfId="0" applyFont="1" applyFill="1" applyBorder="1"/>
    <xf numFmtId="0" fontId="26" fillId="34" borderId="11" xfId="0" applyFont="1" applyFill="1" applyBorder="1"/>
    <xf numFmtId="0" fontId="24" fillId="0" borderId="11" xfId="0" applyFont="1" applyBorder="1"/>
    <xf numFmtId="0" fontId="0" fillId="0" borderId="15" xfId="0" applyBorder="1"/>
    <xf numFmtId="0" fontId="0" fillId="0" borderId="16" xfId="0" applyBorder="1"/>
    <xf numFmtId="0" fontId="0" fillId="0" borderId="17" xfId="0" applyBorder="1"/>
    <xf numFmtId="0" fontId="0" fillId="34" borderId="15" xfId="0" applyFill="1" applyBorder="1" applyAlignment="1">
      <alignment horizontal="left"/>
    </xf>
    <xf numFmtId="0" fontId="0" fillId="34" borderId="16" xfId="0" applyFill="1" applyBorder="1" applyAlignment="1">
      <alignment horizontal="left"/>
    </xf>
    <xf numFmtId="0" fontId="0" fillId="34" borderId="17" xfId="0" applyFill="1" applyBorder="1" applyAlignment="1">
      <alignment horizontal="left"/>
    </xf>
    <xf numFmtId="0" fontId="0" fillId="35" borderId="0" xfId="0" applyFill="1"/>
    <xf numFmtId="164" fontId="0" fillId="35" borderId="0" xfId="0" applyNumberFormat="1" applyFill="1"/>
    <xf numFmtId="10" fontId="0" fillId="35" borderId="0" xfId="0" applyNumberFormat="1" applyFill="1"/>
    <xf numFmtId="0" fontId="13" fillId="7" borderId="7" xfId="13"/>
    <xf numFmtId="2" fontId="13" fillId="7" borderId="7" xfId="13" applyNumberFormat="1" applyAlignment="1">
      <alignment horizontal="left"/>
    </xf>
    <xf numFmtId="0" fontId="13" fillId="7" borderId="7" xfId="13" applyAlignment="1">
      <alignment horizontal="left"/>
    </xf>
    <xf numFmtId="0" fontId="14" fillId="0" borderId="0" xfId="0" applyFont="1"/>
    <xf numFmtId="0" fontId="0" fillId="0" borderId="0" xfId="0"/>
    <xf numFmtId="0" fontId="0" fillId="0" borderId="0" xfId="0" applyAlignment="1">
      <alignment horizontal="left"/>
    </xf>
    <xf numFmtId="0" fontId="25" fillId="0" borderId="0" xfId="0" applyFont="1"/>
    <xf numFmtId="0" fontId="14" fillId="0" borderId="10" xfId="0" applyFont="1" applyBorder="1"/>
    <xf numFmtId="0" fontId="0" fillId="0" borderId="10" xfId="0" applyBorder="1"/>
    <xf numFmtId="0" fontId="0" fillId="36" borderId="0" xfId="0" applyFill="1"/>
    <xf numFmtId="0" fontId="14" fillId="0" borderId="0" xfId="0" applyFont="1" applyAlignment="1">
      <alignment wrapText="1"/>
    </xf>
    <xf numFmtId="0" fontId="0" fillId="0" borderId="0" xfId="0" applyAlignment="1">
      <alignment wrapText="1"/>
    </xf>
    <xf numFmtId="0" fontId="29" fillId="35" borderId="18" xfId="0" applyFont="1" applyFill="1" applyBorder="1" applyAlignment="1">
      <alignment horizontal="center"/>
    </xf>
    <xf numFmtId="0" fontId="16" fillId="35" borderId="0" xfId="0" applyFont="1" applyFill="1" applyAlignment="1">
      <alignment horizontal="center"/>
    </xf>
    <xf numFmtId="0" fontId="16" fillId="35" borderId="18" xfId="0" applyFont="1" applyFill="1" applyBorder="1" applyAlignment="1">
      <alignment horizontal="center"/>
    </xf>
    <xf numFmtId="0" fontId="0" fillId="36" borderId="11" xfId="0" applyFill="1" applyBorder="1"/>
    <xf numFmtId="0" fontId="22" fillId="0" borderId="11" xfId="0" applyFont="1" applyBorder="1"/>
    <xf numFmtId="0" fontId="0" fillId="0" borderId="11" xfId="0" applyBorder="1"/>
    <xf numFmtId="0" fontId="14" fillId="34" borderId="11" xfId="0" applyFont="1" applyFill="1" applyBorder="1"/>
    <xf numFmtId="0" fontId="20" fillId="0" borderId="11" xfId="0" applyFont="1" applyBorder="1"/>
    <xf numFmtId="0" fontId="0" fillId="35" borderId="11" xfId="0" applyFill="1" applyBorder="1"/>
    <xf numFmtId="164" fontId="0" fillId="0" borderId="11" xfId="0" applyNumberFormat="1" applyBorder="1"/>
    <xf numFmtId="0" fontId="14" fillId="0" borderId="15" xfId="0" applyFont="1" applyBorder="1"/>
    <xf numFmtId="0" fontId="14" fillId="0" borderId="16" xfId="0" applyFont="1" applyBorder="1"/>
    <xf numFmtId="0" fontId="14" fillId="0" borderId="17" xfId="0" applyFont="1" applyBorder="1"/>
    <xf numFmtId="0" fontId="24" fillId="0" borderId="15" xfId="0" applyFont="1" applyBorder="1"/>
    <xf numFmtId="0" fontId="24" fillId="0" borderId="16" xfId="0" applyFont="1" applyBorder="1"/>
    <xf numFmtId="0" fontId="24" fillId="0" borderId="17" xfId="0" applyFont="1" applyBorder="1"/>
    <xf numFmtId="0" fontId="0" fillId="0" borderId="16" xfId="0" applyBorder="1"/>
    <xf numFmtId="0" fontId="0" fillId="0" borderId="15" xfId="0" applyBorder="1"/>
    <xf numFmtId="0" fontId="0" fillId="0" borderId="17" xfId="0" applyBorder="1"/>
    <xf numFmtId="0" fontId="19" fillId="0" borderId="11" xfId="0" applyFont="1" applyBorder="1"/>
    <xf numFmtId="0" fontId="0" fillId="37" borderId="11" xfId="0" applyFill="1" applyBorder="1"/>
    <xf numFmtId="0" fontId="18" fillId="0" borderId="11" xfId="0" applyFont="1" applyBorder="1"/>
    <xf numFmtId="0" fontId="22" fillId="34" borderId="11" xfId="0" applyFont="1" applyFill="1" applyBorder="1"/>
    <xf numFmtId="0" fontId="0" fillId="34" borderId="11" xfId="0" applyFill="1" applyBorder="1"/>
    <xf numFmtId="0" fontId="0" fillId="0" borderId="11" xfId="0" applyBorder="1" applyAlignment="1">
      <alignment wrapText="1"/>
    </xf>
    <xf numFmtId="0" fontId="24" fillId="0" borderId="11" xfId="0" applyFont="1" applyBorder="1"/>
    <xf numFmtId="0" fontId="0" fillId="34" borderId="15" xfId="0" applyFill="1" applyBorder="1" applyAlignment="1">
      <alignment horizontal="left"/>
    </xf>
    <xf numFmtId="0" fontId="0" fillId="34" borderId="16" xfId="0" applyFill="1" applyBorder="1" applyAlignment="1">
      <alignment horizontal="left"/>
    </xf>
    <xf numFmtId="0" fontId="0" fillId="34" borderId="17" xfId="0" applyFill="1" applyBorder="1" applyAlignment="1">
      <alignment horizontal="left"/>
    </xf>
    <xf numFmtId="0" fontId="22" fillId="34" borderId="15" xfId="0" applyFont="1" applyFill="1" applyBorder="1" applyAlignment="1">
      <alignment horizontal="left"/>
    </xf>
    <xf numFmtId="0" fontId="22" fillId="0" borderId="15" xfId="0" applyFont="1" applyBorder="1"/>
    <xf numFmtId="0" fontId="27" fillId="0" borderId="15" xfId="0" applyFont="1" applyBorder="1"/>
    <xf numFmtId="0" fontId="0" fillId="39" borderId="0" xfId="0" applyFill="1" applyAlignment="1">
      <alignmen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61">
    <dxf>
      <font>
        <color rgb="FF9C5700"/>
      </font>
      <fill>
        <patternFill>
          <bgColor rgb="FFFFEB9C"/>
        </patternFill>
      </fill>
    </dxf>
    <dxf>
      <font>
        <color theme="4"/>
      </font>
    </dxf>
    <dxf>
      <font>
        <color theme="4"/>
      </font>
    </dxf>
    <dxf>
      <fill>
        <patternFill patternType="solid">
          <fgColor theme="0"/>
          <bgColor theme="0"/>
        </patternFill>
      </fill>
    </dxf>
    <dxf>
      <font>
        <color theme="4"/>
      </font>
    </dxf>
    <dxf>
      <font>
        <strike val="0"/>
        <color theme="4"/>
      </font>
    </dxf>
    <dxf>
      <font>
        <strike val="0"/>
      </font>
    </dxf>
    <dxf>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7"/>
        </patternFill>
      </fill>
      <border diagonalUp="0" diagonalDown="0">
        <left style="thin">
          <color indexed="64"/>
        </left>
        <right style="thin">
          <color indexed="64"/>
        </right>
        <top/>
        <bottom/>
        <vertical style="thin">
          <color indexed="64"/>
        </vertical>
        <horizontal style="thin">
          <color indexed="64"/>
        </horizontal>
      </border>
    </dxf>
    <dxf>
      <alignment horizontal="left"/>
    </dxf>
    <dxf>
      <alignment horizontal="left"/>
    </dxf>
    <dxf>
      <fill>
        <patternFill patternType="solid">
          <bgColor theme="7"/>
        </patternFill>
      </fill>
    </dxf>
    <dxf>
      <fill>
        <patternFill patternType="solid">
          <bgColor theme="7"/>
        </patternFill>
      </fill>
    </dxf>
    <dxf>
      <fill>
        <patternFill patternType="solid">
          <bgColor theme="7"/>
        </patternFill>
      </fill>
    </dxf>
    <dxf>
      <alignment horizontal="left"/>
    </dxf>
    <dxf>
      <alignment horizontal="left"/>
    </dxf>
    <dxf>
      <alignment horizontal="left"/>
    </dxf>
    <dxf>
      <alignment horizontal="left"/>
    </dxf>
    <dxf>
      <fill>
        <patternFill patternType="solid">
          <bgColor theme="7"/>
        </patternFill>
      </fill>
    </dxf>
    <dxf>
      <numFmt numFmtId="164" formatCode="0.000"/>
    </dxf>
    <dxf>
      <numFmt numFmtId="164" formatCode="0.000"/>
    </dxf>
    <dxf>
      <numFmt numFmtId="164" formatCode="0.000"/>
    </dxf>
    <dxf>
      <numFmt numFmtId="164" formatCode="0.000"/>
    </dxf>
    <dxf>
      <numFmt numFmtId="164" formatCode="0.000"/>
    </dxf>
    <dxf>
      <alignment horizontal="left"/>
    </dxf>
    <dxf>
      <alignment horizontal="left"/>
    </dxf>
    <dxf>
      <alignment horizontal="left"/>
    </dxf>
    <dxf>
      <fill>
        <patternFill patternType="solid">
          <bgColor theme="7"/>
        </patternFill>
      </fill>
    </dxf>
    <dxf>
      <fill>
        <patternFill>
          <bgColor theme="7"/>
        </patternFill>
      </fill>
    </dxf>
    <dxf>
      <fill>
        <patternFill patternType="solid">
          <bgColor theme="5"/>
        </patternFill>
      </fill>
    </dxf>
    <dxf>
      <numFmt numFmtId="164" formatCode="0.000"/>
    </dxf>
    <dxf>
      <numFmt numFmtId="164" formatCode="0.000"/>
    </dxf>
    <dxf>
      <numFmt numFmtId="164" formatCode="0.000"/>
    </dxf>
    <dxf>
      <numFmt numFmtId="164" formatCode="0.000"/>
    </dxf>
    <dxf>
      <alignment horizontal="left"/>
    </dxf>
    <dxf>
      <alignment horizontal="left"/>
    </dxf>
    <dxf>
      <fill>
        <patternFill patternType="solid">
          <bgColor rgb="FFFFC000"/>
        </patternFill>
      </fill>
    </dxf>
    <dxf>
      <fill>
        <patternFill patternType="solid">
          <bgColor theme="7"/>
        </patternFill>
      </fill>
    </dxf>
    <dxf>
      <fill>
        <patternFill patternType="solid">
          <bgColor theme="7"/>
        </patternFill>
      </fill>
    </dxf>
    <dxf>
      <fill>
        <patternFill patternType="solid">
          <bgColor theme="7"/>
        </patternFill>
      </fill>
    </dxf>
    <dxf>
      <numFmt numFmtId="164" formatCode="0.000"/>
    </dxf>
    <dxf>
      <numFmt numFmtId="164" formatCode="0.000"/>
    </dxf>
    <dxf>
      <numFmt numFmtId="164" formatCode="0.000"/>
    </dxf>
    <dxf>
      <numFmt numFmtId="164" formatCode="0.000"/>
    </dxf>
    <dxf>
      <fill>
        <patternFill patternType="solid">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[penguins_sizes.xlsx]pivot tables!PivotTable19</c:name>
    <c:fmtId val="18"/>
  </c:pivotSource>
  <c:chart>
    <c:title>
      <c:tx>
        <c:rich>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r>
              <a:rPr lang="en-US">
                <a:solidFill>
                  <a:schemeClr val="tx1"/>
                </a:solidFill>
              </a:rPr>
              <a:t>AVERAGE BODY MASS ACROSS SPECIES</a:t>
            </a:r>
          </a:p>
        </c:rich>
      </c:tx>
      <c:layout>
        <c:manualLayout>
          <c:xMode val="edge"/>
          <c:yMode val="edge"/>
          <c:x val="0.28523915205579992"/>
          <c:y val="0.11705178801802317"/>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tables'!$M$32</c:f>
              <c:strCache>
                <c:ptCount val="1"/>
                <c:pt idx="0">
                  <c:v>Total</c:v>
                </c:pt>
              </c:strCache>
            </c:strRef>
          </c:tx>
          <c:spPr>
            <a:solidFill>
              <a:schemeClr val="accent1"/>
            </a:solidFill>
            <a:ln>
              <a:noFill/>
            </a:ln>
            <a:effectLst/>
          </c:spPr>
          <c:invertIfNegative val="0"/>
          <c:cat>
            <c:strRef>
              <c:f>'pivot tables'!$L$33:$L$36</c:f>
              <c:strCache>
                <c:ptCount val="3"/>
                <c:pt idx="0">
                  <c:v>Adelie</c:v>
                </c:pt>
                <c:pt idx="1">
                  <c:v>Chinstrap</c:v>
                </c:pt>
                <c:pt idx="2">
                  <c:v>Gentoo</c:v>
                </c:pt>
              </c:strCache>
            </c:strRef>
          </c:cat>
          <c:val>
            <c:numRef>
              <c:f>'pivot tables'!$M$33:$M$36</c:f>
              <c:numCache>
                <c:formatCode>General</c:formatCode>
                <c:ptCount val="3"/>
                <c:pt idx="0">
                  <c:v>3700.662251655629</c:v>
                </c:pt>
                <c:pt idx="1">
                  <c:v>3733.0882352941176</c:v>
                </c:pt>
                <c:pt idx="2">
                  <c:v>5076.0162601626016</c:v>
                </c:pt>
              </c:numCache>
            </c:numRef>
          </c:val>
          <c:extLst>
            <c:ext xmlns:c16="http://schemas.microsoft.com/office/drawing/2014/chart" uri="{C3380CC4-5D6E-409C-BE32-E72D297353CC}">
              <c16:uniqueId val="{00000000-8994-42E7-AB7C-867FB7B6DD2A}"/>
            </c:ext>
          </c:extLst>
        </c:ser>
        <c:dLbls>
          <c:showLegendKey val="0"/>
          <c:showVal val="0"/>
          <c:showCatName val="0"/>
          <c:showSerName val="0"/>
          <c:showPercent val="0"/>
          <c:showBubbleSize val="0"/>
        </c:dLbls>
        <c:gapWidth val="267"/>
        <c:overlap val="-43"/>
        <c:axId val="396540831"/>
        <c:axId val="396529311"/>
      </c:barChart>
      <c:catAx>
        <c:axId val="39654083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US">
                    <a:solidFill>
                      <a:schemeClr val="dk1"/>
                    </a:solidFill>
                    <a:latin typeface="+mn-lt"/>
                    <a:ea typeface="+mn-ea"/>
                    <a:cs typeface="+mn-cs"/>
                  </a:rPr>
                  <a:t>Species</a:t>
                </a:r>
                <a:endParaRPr lang="en-US"/>
              </a:p>
            </c:rich>
          </c:tx>
          <c:layout>
            <c:manualLayout>
              <c:xMode val="edge"/>
              <c:yMode val="edge"/>
              <c:x val="0.42503905158573324"/>
              <c:y val="0.86374266775975039"/>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solidFill>
            <a:schemeClr val="bg2"/>
          </a:solid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396529311"/>
        <c:crosses val="autoZero"/>
        <c:auto val="1"/>
        <c:lblAlgn val="ctr"/>
        <c:lblOffset val="100"/>
        <c:noMultiLvlLbl val="0"/>
      </c:catAx>
      <c:valAx>
        <c:axId val="396529311"/>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US">
                    <a:solidFill>
                      <a:schemeClr val="dk1"/>
                    </a:solidFill>
                    <a:latin typeface="+mn-lt"/>
                    <a:ea typeface="+mn-ea"/>
                    <a:cs typeface="+mn-cs"/>
                  </a:rPr>
                  <a:t>Body Mass</a:t>
                </a:r>
                <a:endParaRPr lang="en-US"/>
              </a:p>
            </c:rich>
          </c:tx>
          <c:layout>
            <c:manualLayout>
              <c:xMode val="edge"/>
              <c:yMode val="edge"/>
              <c:x val="2.0224305938591654E-2"/>
              <c:y val="0.38265079153241438"/>
            </c:manualLayout>
          </c:layout>
          <c:overlay val="0"/>
          <c:spPr>
            <a:solidFill>
              <a:schemeClr val="lt1"/>
            </a:solidFill>
            <a:ln w="12700" cap="flat" cmpd="sng" algn="ctr">
              <a:solidFill>
                <a:schemeClr val="dk1"/>
              </a:solidFill>
              <a:prstDash val="solid"/>
              <a:miter lim="800000"/>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96540831"/>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[penguins_sizes.xlsx]pivot tables!PivotTable22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FLIPPER LENGTH BY ISLAND RANKED</a:t>
            </a: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tables'!$M$56</c:f>
              <c:strCache>
                <c:ptCount val="1"/>
                <c:pt idx="0">
                  <c:v>Total</c:v>
                </c:pt>
              </c:strCache>
            </c:strRef>
          </c:tx>
          <c:spPr>
            <a:solidFill>
              <a:schemeClr val="accent1"/>
            </a:solidFill>
            <a:ln>
              <a:noFill/>
            </a:ln>
            <a:effectLst/>
          </c:spPr>
          <c:invertIfNegative val="0"/>
          <c:cat>
            <c:strRef>
              <c:f>'pivot tables'!$L$57:$L$60</c:f>
              <c:strCache>
                <c:ptCount val="3"/>
                <c:pt idx="0">
                  <c:v>Biscoe</c:v>
                </c:pt>
                <c:pt idx="1">
                  <c:v>Dream</c:v>
                </c:pt>
                <c:pt idx="2">
                  <c:v>Torgersen</c:v>
                </c:pt>
              </c:strCache>
            </c:strRef>
          </c:cat>
          <c:val>
            <c:numRef>
              <c:f>'pivot tables'!$M$57:$M$60</c:f>
              <c:numCache>
                <c:formatCode>General</c:formatCode>
                <c:ptCount val="3"/>
                <c:pt idx="0">
                  <c:v>209.70658682634732</c:v>
                </c:pt>
                <c:pt idx="1">
                  <c:v>193.07258064516128</c:v>
                </c:pt>
                <c:pt idx="2">
                  <c:v>191.19607843137254</c:v>
                </c:pt>
              </c:numCache>
            </c:numRef>
          </c:val>
          <c:extLst>
            <c:ext xmlns:c16="http://schemas.microsoft.com/office/drawing/2014/chart" uri="{C3380CC4-5D6E-409C-BE32-E72D297353CC}">
              <c16:uniqueId val="{00000000-65F7-46FF-A2F7-B41A9FD1E13B}"/>
            </c:ext>
          </c:extLst>
        </c:ser>
        <c:dLbls>
          <c:showLegendKey val="0"/>
          <c:showVal val="0"/>
          <c:showCatName val="0"/>
          <c:showSerName val="0"/>
          <c:showPercent val="0"/>
          <c:showBubbleSize val="0"/>
        </c:dLbls>
        <c:gapWidth val="182"/>
        <c:axId val="424659055"/>
        <c:axId val="424671535"/>
      </c:barChart>
      <c:catAx>
        <c:axId val="4246590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ISLANDS</a:t>
                </a:r>
              </a:p>
            </c:rich>
          </c:tx>
          <c:layout>
            <c:manualLayout>
              <c:xMode val="edge"/>
              <c:yMode val="edge"/>
              <c:x val="0.119280645950575"/>
              <c:y val="0.4321846814602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671535"/>
        <c:crosses val="autoZero"/>
        <c:auto val="1"/>
        <c:lblAlgn val="ctr"/>
        <c:lblOffset val="100"/>
        <c:noMultiLvlLbl val="0"/>
      </c:catAx>
      <c:valAx>
        <c:axId val="4246715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AVG FLIPPER</a:t>
                </a:r>
                <a:r>
                  <a:rPr lang="en-US" baseline="0">
                    <a:solidFill>
                      <a:schemeClr val="bg1"/>
                    </a:solidFill>
                  </a:rPr>
                  <a:t> LENGTH</a:t>
                </a:r>
                <a:endParaRPr lang="en-US">
                  <a:solidFill>
                    <a:schemeClr val="bg1"/>
                  </a:solidFill>
                </a:endParaRPr>
              </a:p>
            </c:rich>
          </c:tx>
          <c:layout>
            <c:manualLayout>
              <c:xMode val="edge"/>
              <c:yMode val="edge"/>
              <c:x val="0.46384792187250146"/>
              <c:y val="0.899068002863278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659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[penguins_sizes.xlsx]pivot tables!PivotTable18</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t>GENDER DISTRIBUTION PER SPECIES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tables'!$M$78:$M$79</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tables'!$L$80:$L$83</c:f>
              <c:strCache>
                <c:ptCount val="3"/>
                <c:pt idx="0">
                  <c:v>Adelie</c:v>
                </c:pt>
                <c:pt idx="1">
                  <c:v>Chinstrap</c:v>
                </c:pt>
                <c:pt idx="2">
                  <c:v>Gentoo</c:v>
                </c:pt>
              </c:strCache>
            </c:strRef>
          </c:cat>
          <c:val>
            <c:numRef>
              <c:f>'pivot tables'!$M$80:$M$83</c:f>
              <c:numCache>
                <c:formatCode>General</c:formatCode>
                <c:ptCount val="3"/>
                <c:pt idx="0">
                  <c:v>73</c:v>
                </c:pt>
                <c:pt idx="1">
                  <c:v>34</c:v>
                </c:pt>
                <c:pt idx="2">
                  <c:v>58</c:v>
                </c:pt>
              </c:numCache>
            </c:numRef>
          </c:val>
          <c:extLst>
            <c:ext xmlns:c16="http://schemas.microsoft.com/office/drawing/2014/chart" uri="{C3380CC4-5D6E-409C-BE32-E72D297353CC}">
              <c16:uniqueId val="{00000000-8A8D-4F00-82B7-72FA52E9FFCD}"/>
            </c:ext>
          </c:extLst>
        </c:ser>
        <c:ser>
          <c:idx val="1"/>
          <c:order val="1"/>
          <c:tx>
            <c:strRef>
              <c:f>'pivot tables'!$N$78:$N$79</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tables'!$L$80:$L$83</c:f>
              <c:strCache>
                <c:ptCount val="3"/>
                <c:pt idx="0">
                  <c:v>Adelie</c:v>
                </c:pt>
                <c:pt idx="1">
                  <c:v>Chinstrap</c:v>
                </c:pt>
                <c:pt idx="2">
                  <c:v>Gentoo</c:v>
                </c:pt>
              </c:strCache>
            </c:strRef>
          </c:cat>
          <c:val>
            <c:numRef>
              <c:f>'pivot tables'!$N$80:$N$83</c:f>
              <c:numCache>
                <c:formatCode>General</c:formatCode>
                <c:ptCount val="3"/>
                <c:pt idx="0">
                  <c:v>73</c:v>
                </c:pt>
                <c:pt idx="1">
                  <c:v>34</c:v>
                </c:pt>
                <c:pt idx="2">
                  <c:v>61</c:v>
                </c:pt>
              </c:numCache>
            </c:numRef>
          </c:val>
          <c:extLst>
            <c:ext xmlns:c16="http://schemas.microsoft.com/office/drawing/2014/chart" uri="{C3380CC4-5D6E-409C-BE32-E72D297353CC}">
              <c16:uniqueId val="{00000000-088C-41D0-939D-BB187CD71B63}"/>
            </c:ext>
          </c:extLst>
        </c:ser>
        <c:ser>
          <c:idx val="2"/>
          <c:order val="2"/>
          <c:tx>
            <c:strRef>
              <c:f>'pivot tables'!$O$78:$O$79</c:f>
              <c:strCache>
                <c:ptCount val="1"/>
                <c:pt idx="0">
                  <c:v>(blank)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tables'!$L$80:$L$83</c:f>
              <c:strCache>
                <c:ptCount val="3"/>
                <c:pt idx="0">
                  <c:v>Adelie</c:v>
                </c:pt>
                <c:pt idx="1">
                  <c:v>Chinstrap</c:v>
                </c:pt>
                <c:pt idx="2">
                  <c:v>Gentoo</c:v>
                </c:pt>
              </c:strCache>
            </c:strRef>
          </c:cat>
          <c:val>
            <c:numRef>
              <c:f>'pivot tables'!$O$80:$O$83</c:f>
              <c:numCache>
                <c:formatCode>General</c:formatCode>
                <c:ptCount val="3"/>
              </c:numCache>
            </c:numRef>
          </c:val>
          <c:extLst>
            <c:ext xmlns:c16="http://schemas.microsoft.com/office/drawing/2014/chart" uri="{C3380CC4-5D6E-409C-BE32-E72D297353CC}">
              <c16:uniqueId val="{00000001-088C-41D0-939D-BB187CD71B63}"/>
            </c:ext>
          </c:extLst>
        </c:ser>
        <c:dLbls>
          <c:showLegendKey val="0"/>
          <c:showVal val="0"/>
          <c:showCatName val="0"/>
          <c:showSerName val="0"/>
          <c:showPercent val="0"/>
          <c:showBubbleSize val="0"/>
        </c:dLbls>
        <c:gapWidth val="100"/>
        <c:overlap val="-24"/>
        <c:axId val="919022816"/>
        <c:axId val="919020416"/>
      </c:barChart>
      <c:catAx>
        <c:axId val="919022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SPECIES</a:t>
                </a:r>
              </a:p>
            </c:rich>
          </c:tx>
          <c:layout>
            <c:manualLayout>
              <c:xMode val="edge"/>
              <c:yMode val="edge"/>
              <c:x val="0.39833661417322841"/>
              <c:y val="0.8426640419947506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9020416"/>
        <c:crosses val="autoZero"/>
        <c:auto val="1"/>
        <c:lblAlgn val="ctr"/>
        <c:lblOffset val="100"/>
        <c:noMultiLvlLbl val="0"/>
      </c:catAx>
      <c:valAx>
        <c:axId val="9190204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 COUNT</a:t>
                </a:r>
              </a:p>
            </c:rich>
          </c:tx>
          <c:layout>
            <c:manualLayout>
              <c:xMode val="edge"/>
              <c:yMode val="edge"/>
              <c:x val="1.9444444444444445E-2"/>
              <c:y val="0.3380016039661709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902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BODY MASS VS FLIPPER LENGTH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penguins_size!$F$1</c:f>
              <c:strCache>
                <c:ptCount val="1"/>
                <c:pt idx="0">
                  <c:v>body_mass_g</c:v>
                </c:pt>
              </c:strCache>
            </c:strRef>
          </c:tx>
          <c:spPr>
            <a:ln w="25400" cap="rnd">
              <a:noFill/>
              <a:round/>
            </a:ln>
            <a:effectLst>
              <a:outerShdw dist="25400" dir="2700000" algn="tl" rotWithShape="0">
                <a:schemeClr val="accent2"/>
              </a:outerShdw>
            </a:effectLst>
          </c:spPr>
          <c:marker>
            <c:symbol val="circle"/>
            <c:size val="6"/>
            <c:spPr>
              <a:solidFill>
                <a:schemeClr val="accent2"/>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trendline>
            <c:spPr>
              <a:ln w="28575" cap="rnd">
                <a:solidFill>
                  <a:schemeClr val="lt1">
                    <a:alpha val="50000"/>
                  </a:schemeClr>
                </a:solidFill>
                <a:round/>
              </a:ln>
              <a:effectLst/>
            </c:spPr>
            <c:trendlineType val="linear"/>
            <c:forward val="40"/>
            <c:backward val="40"/>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rendlineLbl>
          </c:trendline>
          <c:xVal>
            <c:numRef>
              <c:f>penguins_size!$E$2:$E$345</c:f>
              <c:numCache>
                <c:formatCode>General</c:formatCode>
                <c:ptCount val="344"/>
                <c:pt idx="0">
                  <c:v>221</c:v>
                </c:pt>
                <c:pt idx="1">
                  <c:v>230</c:v>
                </c:pt>
                <c:pt idx="2">
                  <c:v>220</c:v>
                </c:pt>
                <c:pt idx="3">
                  <c:v>222</c:v>
                </c:pt>
                <c:pt idx="4">
                  <c:v>223</c:v>
                </c:pt>
                <c:pt idx="5">
                  <c:v>229</c:v>
                </c:pt>
                <c:pt idx="6">
                  <c:v>213</c:v>
                </c:pt>
                <c:pt idx="7">
                  <c:v>217</c:v>
                </c:pt>
                <c:pt idx="8">
                  <c:v>230</c:v>
                </c:pt>
                <c:pt idx="9">
                  <c:v>229</c:v>
                </c:pt>
                <c:pt idx="10">
                  <c:v>230</c:v>
                </c:pt>
                <c:pt idx="11">
                  <c:v>222</c:v>
                </c:pt>
                <c:pt idx="12">
                  <c:v>230</c:v>
                </c:pt>
                <c:pt idx="13">
                  <c:v>218</c:v>
                </c:pt>
                <c:pt idx="14">
                  <c:v>218</c:v>
                </c:pt>
                <c:pt idx="15">
                  <c:v>225</c:v>
                </c:pt>
                <c:pt idx="16">
                  <c:v>230</c:v>
                </c:pt>
                <c:pt idx="17">
                  <c:v>215</c:v>
                </c:pt>
                <c:pt idx="18">
                  <c:v>231</c:v>
                </c:pt>
                <c:pt idx="19">
                  <c:v>224</c:v>
                </c:pt>
                <c:pt idx="20">
                  <c:v>228</c:v>
                </c:pt>
                <c:pt idx="21">
                  <c:v>228</c:v>
                </c:pt>
                <c:pt idx="22">
                  <c:v>216</c:v>
                </c:pt>
                <c:pt idx="23">
                  <c:v>220</c:v>
                </c:pt>
                <c:pt idx="24">
                  <c:v>222</c:v>
                </c:pt>
                <c:pt idx="25">
                  <c:v>224</c:v>
                </c:pt>
                <c:pt idx="26">
                  <c:v>223</c:v>
                </c:pt>
                <c:pt idx="27">
                  <c:v>230</c:v>
                </c:pt>
                <c:pt idx="28">
                  <c:v>228</c:v>
                </c:pt>
                <c:pt idx="29">
                  <c:v>215</c:v>
                </c:pt>
                <c:pt idx="30">
                  <c:v>219</c:v>
                </c:pt>
                <c:pt idx="31">
                  <c:v>209</c:v>
                </c:pt>
                <c:pt idx="32">
                  <c:v>230</c:v>
                </c:pt>
                <c:pt idx="33">
                  <c:v>221</c:v>
                </c:pt>
                <c:pt idx="34">
                  <c:v>215</c:v>
                </c:pt>
                <c:pt idx="35">
                  <c:v>220</c:v>
                </c:pt>
                <c:pt idx="36">
                  <c:v>225</c:v>
                </c:pt>
                <c:pt idx="37">
                  <c:v>228</c:v>
                </c:pt>
                <c:pt idx="38">
                  <c:v>213</c:v>
                </c:pt>
                <c:pt idx="39">
                  <c:v>222</c:v>
                </c:pt>
                <c:pt idx="40">
                  <c:v>208</c:v>
                </c:pt>
                <c:pt idx="41">
                  <c:v>224</c:v>
                </c:pt>
                <c:pt idx="42">
                  <c:v>215</c:v>
                </c:pt>
                <c:pt idx="43">
                  <c:v>220</c:v>
                </c:pt>
                <c:pt idx="44">
                  <c:v>221</c:v>
                </c:pt>
                <c:pt idx="45">
                  <c:v>218</c:v>
                </c:pt>
                <c:pt idx="46">
                  <c:v>222</c:v>
                </c:pt>
                <c:pt idx="47">
                  <c:v>219</c:v>
                </c:pt>
                <c:pt idx="48">
                  <c:v>225</c:v>
                </c:pt>
                <c:pt idx="49">
                  <c:v>219</c:v>
                </c:pt>
                <c:pt idx="50">
                  <c:v>217</c:v>
                </c:pt>
                <c:pt idx="51">
                  <c:v>226</c:v>
                </c:pt>
                <c:pt idx="52">
                  <c:v>212</c:v>
                </c:pt>
                <c:pt idx="53">
                  <c:v>215</c:v>
                </c:pt>
                <c:pt idx="54">
                  <c:v>220</c:v>
                </c:pt>
                <c:pt idx="55">
                  <c:v>215</c:v>
                </c:pt>
                <c:pt idx="56">
                  <c:v>213</c:v>
                </c:pt>
                <c:pt idx="57">
                  <c:v>221</c:v>
                </c:pt>
                <c:pt idx="58">
                  <c:v>215</c:v>
                </c:pt>
                <c:pt idx="59">
                  <c:v>207</c:v>
                </c:pt>
                <c:pt idx="60">
                  <c:v>220</c:v>
                </c:pt>
                <c:pt idx="61">
                  <c:v>215</c:v>
                </c:pt>
                <c:pt idx="62">
                  <c:v>215</c:v>
                </c:pt>
                <c:pt idx="63">
                  <c:v>225</c:v>
                </c:pt>
                <c:pt idx="64">
                  <c:v>220</c:v>
                </c:pt>
                <c:pt idx="65">
                  <c:v>221</c:v>
                </c:pt>
                <c:pt idx="66">
                  <c:v>216</c:v>
                </c:pt>
                <c:pt idx="67">
                  <c:v>215</c:v>
                </c:pt>
                <c:pt idx="68">
                  <c:v>213</c:v>
                </c:pt>
                <c:pt idx="69">
                  <c:v>218</c:v>
                </c:pt>
                <c:pt idx="70">
                  <c:v>216</c:v>
                </c:pt>
                <c:pt idx="71">
                  <c:v>214</c:v>
                </c:pt>
                <c:pt idx="72">
                  <c:v>217</c:v>
                </c:pt>
                <c:pt idx="73">
                  <c:v>217</c:v>
                </c:pt>
                <c:pt idx="74">
                  <c:v>212</c:v>
                </c:pt>
                <c:pt idx="75">
                  <c:v>222</c:v>
                </c:pt>
                <c:pt idx="76">
                  <c:v>217</c:v>
                </c:pt>
                <c:pt idx="77">
                  <c:v>210</c:v>
                </c:pt>
                <c:pt idx="78">
                  <c:v>214</c:v>
                </c:pt>
                <c:pt idx="79">
                  <c:v>219</c:v>
                </c:pt>
                <c:pt idx="80">
                  <c:v>215</c:v>
                </c:pt>
                <c:pt idx="81">
                  <c:v>210</c:v>
                </c:pt>
                <c:pt idx="82">
                  <c:v>211</c:v>
                </c:pt>
                <c:pt idx="83">
                  <c:v>209</c:v>
                </c:pt>
                <c:pt idx="84">
                  <c:v>197</c:v>
                </c:pt>
                <c:pt idx="85">
                  <c:v>216</c:v>
                </c:pt>
                <c:pt idx="86">
                  <c:v>216</c:v>
                </c:pt>
                <c:pt idx="87">
                  <c:v>215</c:v>
                </c:pt>
                <c:pt idx="88">
                  <c:v>212</c:v>
                </c:pt>
                <c:pt idx="89">
                  <c:v>212</c:v>
                </c:pt>
                <c:pt idx="90">
                  <c:v>203</c:v>
                </c:pt>
                <c:pt idx="91">
                  <c:v>212</c:v>
                </c:pt>
                <c:pt idx="92">
                  <c:v>216</c:v>
                </c:pt>
                <c:pt idx="93">
                  <c:v>196</c:v>
                </c:pt>
                <c:pt idx="94">
                  <c:v>209</c:v>
                </c:pt>
                <c:pt idx="95">
                  <c:v>219</c:v>
                </c:pt>
                <c:pt idx="96">
                  <c:v>220</c:v>
                </c:pt>
                <c:pt idx="97">
                  <c:v>216</c:v>
                </c:pt>
                <c:pt idx="98">
                  <c:v>210</c:v>
                </c:pt>
                <c:pt idx="99">
                  <c:v>195</c:v>
                </c:pt>
                <c:pt idx="100">
                  <c:v>184</c:v>
                </c:pt>
                <c:pt idx="101">
                  <c:v>214</c:v>
                </c:pt>
                <c:pt idx="102">
                  <c:v>214</c:v>
                </c:pt>
                <c:pt idx="103">
                  <c:v>214</c:v>
                </c:pt>
                <c:pt idx="104">
                  <c:v>213</c:v>
                </c:pt>
                <c:pt idx="105">
                  <c:v>212</c:v>
                </c:pt>
                <c:pt idx="106">
                  <c:v>203</c:v>
                </c:pt>
                <c:pt idx="107">
                  <c:v>190</c:v>
                </c:pt>
                <c:pt idx="108">
                  <c:v>191</c:v>
                </c:pt>
                <c:pt idx="109">
                  <c:v>210</c:v>
                </c:pt>
                <c:pt idx="110">
                  <c:v>209</c:v>
                </c:pt>
                <c:pt idx="111">
                  <c:v>218</c:v>
                </c:pt>
                <c:pt idx="112">
                  <c:v>208</c:v>
                </c:pt>
                <c:pt idx="113">
                  <c:v>205</c:v>
                </c:pt>
                <c:pt idx="114">
                  <c:v>210</c:v>
                </c:pt>
                <c:pt idx="115">
                  <c:v>197</c:v>
                </c:pt>
                <c:pt idx="116">
                  <c:v>205</c:v>
                </c:pt>
                <c:pt idx="117">
                  <c:v>211</c:v>
                </c:pt>
                <c:pt idx="118">
                  <c:v>199</c:v>
                </c:pt>
                <c:pt idx="119">
                  <c:v>198</c:v>
                </c:pt>
                <c:pt idx="120">
                  <c:v>186</c:v>
                </c:pt>
                <c:pt idx="121">
                  <c:v>201</c:v>
                </c:pt>
                <c:pt idx="122">
                  <c:v>210</c:v>
                </c:pt>
                <c:pt idx="123">
                  <c:v>208</c:v>
                </c:pt>
                <c:pt idx="124">
                  <c:v>198</c:v>
                </c:pt>
                <c:pt idx="125">
                  <c:v>196</c:v>
                </c:pt>
                <c:pt idx="126">
                  <c:v>195</c:v>
                </c:pt>
                <c:pt idx="127">
                  <c:v>195</c:v>
                </c:pt>
                <c:pt idx="128">
                  <c:v>209</c:v>
                </c:pt>
                <c:pt idx="129">
                  <c:v>213</c:v>
                </c:pt>
                <c:pt idx="130">
                  <c:v>210</c:v>
                </c:pt>
                <c:pt idx="131">
                  <c:v>214</c:v>
                </c:pt>
                <c:pt idx="132">
                  <c:v>217</c:v>
                </c:pt>
                <c:pt idx="133">
                  <c:v>196</c:v>
                </c:pt>
                <c:pt idx="134">
                  <c:v>208</c:v>
                </c:pt>
                <c:pt idx="135">
                  <c:v>188</c:v>
                </c:pt>
                <c:pt idx="136">
                  <c:v>205</c:v>
                </c:pt>
                <c:pt idx="137">
                  <c:v>208</c:v>
                </c:pt>
                <c:pt idx="138">
                  <c:v>195</c:v>
                </c:pt>
                <c:pt idx="139">
                  <c:v>201</c:v>
                </c:pt>
                <c:pt idx="140">
                  <c:v>212</c:v>
                </c:pt>
                <c:pt idx="141">
                  <c:v>210</c:v>
                </c:pt>
                <c:pt idx="142">
                  <c:v>208</c:v>
                </c:pt>
                <c:pt idx="143">
                  <c:v>197</c:v>
                </c:pt>
                <c:pt idx="144">
                  <c:v>190</c:v>
                </c:pt>
                <c:pt idx="145">
                  <c:v>195</c:v>
                </c:pt>
                <c:pt idx="146">
                  <c:v>190</c:v>
                </c:pt>
                <c:pt idx="147">
                  <c:v>193</c:v>
                </c:pt>
                <c:pt idx="148">
                  <c:v>190</c:v>
                </c:pt>
                <c:pt idx="149">
                  <c:v>194</c:v>
                </c:pt>
                <c:pt idx="150">
                  <c:v>193</c:v>
                </c:pt>
                <c:pt idx="151">
                  <c:v>210</c:v>
                </c:pt>
                <c:pt idx="152">
                  <c:v>210</c:v>
                </c:pt>
                <c:pt idx="153">
                  <c:v>208</c:v>
                </c:pt>
                <c:pt idx="154">
                  <c:v>196</c:v>
                </c:pt>
                <c:pt idx="155">
                  <c:v>191</c:v>
                </c:pt>
                <c:pt idx="156">
                  <c:v>197</c:v>
                </c:pt>
                <c:pt idx="157">
                  <c:v>195</c:v>
                </c:pt>
                <c:pt idx="158">
                  <c:v>197</c:v>
                </c:pt>
                <c:pt idx="159">
                  <c:v>210</c:v>
                </c:pt>
                <c:pt idx="160">
                  <c:v>188</c:v>
                </c:pt>
                <c:pt idx="161">
                  <c:v>192</c:v>
                </c:pt>
                <c:pt idx="162">
                  <c:v>203</c:v>
                </c:pt>
                <c:pt idx="163">
                  <c:v>210</c:v>
                </c:pt>
                <c:pt idx="164">
                  <c:v>216</c:v>
                </c:pt>
                <c:pt idx="165">
                  <c:v>196</c:v>
                </c:pt>
                <c:pt idx="166">
                  <c:v>200</c:v>
                </c:pt>
                <c:pt idx="167">
                  <c:v>192</c:v>
                </c:pt>
                <c:pt idx="168">
                  <c:v>201</c:v>
                </c:pt>
                <c:pt idx="169">
                  <c:v>201</c:v>
                </c:pt>
                <c:pt idx="170">
                  <c:v>203</c:v>
                </c:pt>
                <c:pt idx="171">
                  <c:v>203</c:v>
                </c:pt>
                <c:pt idx="172">
                  <c:v>195</c:v>
                </c:pt>
                <c:pt idx="173">
                  <c:v>199</c:v>
                </c:pt>
                <c:pt idx="174">
                  <c:v>210</c:v>
                </c:pt>
                <c:pt idx="175">
                  <c:v>201</c:v>
                </c:pt>
                <c:pt idx="176">
                  <c:v>207</c:v>
                </c:pt>
                <c:pt idx="177">
                  <c:v>200</c:v>
                </c:pt>
                <c:pt idx="178">
                  <c:v>185</c:v>
                </c:pt>
                <c:pt idx="179">
                  <c:v>180</c:v>
                </c:pt>
                <c:pt idx="180">
                  <c:v>190</c:v>
                </c:pt>
                <c:pt idx="181">
                  <c:v>192</c:v>
                </c:pt>
                <c:pt idx="182">
                  <c:v>189</c:v>
                </c:pt>
                <c:pt idx="183">
                  <c:v>198</c:v>
                </c:pt>
                <c:pt idx="184">
                  <c:v>210</c:v>
                </c:pt>
                <c:pt idx="185">
                  <c:v>201</c:v>
                </c:pt>
                <c:pt idx="186">
                  <c:v>206</c:v>
                </c:pt>
                <c:pt idx="187">
                  <c:v>208</c:v>
                </c:pt>
                <c:pt idx="188">
                  <c:v>178</c:v>
                </c:pt>
                <c:pt idx="189">
                  <c:v>184</c:v>
                </c:pt>
                <c:pt idx="190">
                  <c:v>195</c:v>
                </c:pt>
                <c:pt idx="191">
                  <c:v>190</c:v>
                </c:pt>
                <c:pt idx="192">
                  <c:v>184</c:v>
                </c:pt>
                <c:pt idx="193">
                  <c:v>190</c:v>
                </c:pt>
                <c:pt idx="194">
                  <c:v>191</c:v>
                </c:pt>
                <c:pt idx="195">
                  <c:v>190</c:v>
                </c:pt>
                <c:pt idx="196">
                  <c:v>196</c:v>
                </c:pt>
                <c:pt idx="197">
                  <c:v>199</c:v>
                </c:pt>
                <c:pt idx="198">
                  <c:v>202</c:v>
                </c:pt>
                <c:pt idx="199">
                  <c:v>195</c:v>
                </c:pt>
                <c:pt idx="200">
                  <c:v>198</c:v>
                </c:pt>
                <c:pt idx="201">
                  <c:v>186</c:v>
                </c:pt>
                <c:pt idx="202">
                  <c:v>191</c:v>
                </c:pt>
                <c:pt idx="203">
                  <c:v>189</c:v>
                </c:pt>
                <c:pt idx="204">
                  <c:v>180</c:v>
                </c:pt>
                <c:pt idx="205">
                  <c:v>187</c:v>
                </c:pt>
                <c:pt idx="206">
                  <c:v>193</c:v>
                </c:pt>
                <c:pt idx="207">
                  <c:v>187</c:v>
                </c:pt>
                <c:pt idx="208">
                  <c:v>190</c:v>
                </c:pt>
                <c:pt idx="209">
                  <c:v>193</c:v>
                </c:pt>
                <c:pt idx="210">
                  <c:v>193</c:v>
                </c:pt>
                <c:pt idx="211">
                  <c:v>200</c:v>
                </c:pt>
                <c:pt idx="212">
                  <c:v>202</c:v>
                </c:pt>
                <c:pt idx="213">
                  <c:v>199</c:v>
                </c:pt>
                <c:pt idx="214">
                  <c:v>194</c:v>
                </c:pt>
                <c:pt idx="215">
                  <c:v>193</c:v>
                </c:pt>
                <c:pt idx="216">
                  <c:v>198</c:v>
                </c:pt>
                <c:pt idx="217">
                  <c:v>181</c:v>
                </c:pt>
                <c:pt idx="218">
                  <c:v>194</c:v>
                </c:pt>
                <c:pt idx="219">
                  <c:v>199</c:v>
                </c:pt>
                <c:pt idx="220">
                  <c:v>193</c:v>
                </c:pt>
                <c:pt idx="221">
                  <c:v>197</c:v>
                </c:pt>
                <c:pt idx="222">
                  <c:v>192</c:v>
                </c:pt>
                <c:pt idx="223">
                  <c:v>190</c:v>
                </c:pt>
                <c:pt idx="224">
                  <c:v>197</c:v>
                </c:pt>
                <c:pt idx="225">
                  <c:v>180</c:v>
                </c:pt>
                <c:pt idx="226">
                  <c:v>185</c:v>
                </c:pt>
                <c:pt idx="227">
                  <c:v>191</c:v>
                </c:pt>
                <c:pt idx="228">
                  <c:v>190</c:v>
                </c:pt>
                <c:pt idx="229">
                  <c:v>191</c:v>
                </c:pt>
                <c:pt idx="230">
                  <c:v>190</c:v>
                </c:pt>
                <c:pt idx="231">
                  <c:v>187</c:v>
                </c:pt>
                <c:pt idx="232">
                  <c:v>198</c:v>
                </c:pt>
                <c:pt idx="233">
                  <c:v>185</c:v>
                </c:pt>
                <c:pt idx="234">
                  <c:v>181</c:v>
                </c:pt>
                <c:pt idx="235">
                  <c:v>191</c:v>
                </c:pt>
                <c:pt idx="236">
                  <c:v>196</c:v>
                </c:pt>
                <c:pt idx="237">
                  <c:v>198</c:v>
                </c:pt>
                <c:pt idx="238">
                  <c:v>190</c:v>
                </c:pt>
                <c:pt idx="239">
                  <c:v>185</c:v>
                </c:pt>
                <c:pt idx="240">
                  <c:v>193</c:v>
                </c:pt>
                <c:pt idx="241">
                  <c:v>187</c:v>
                </c:pt>
                <c:pt idx="242">
                  <c:v>189</c:v>
                </c:pt>
                <c:pt idx="243">
                  <c:v>195</c:v>
                </c:pt>
                <c:pt idx="244">
                  <c:v>181</c:v>
                </c:pt>
                <c:pt idx="245">
                  <c:v>180</c:v>
                </c:pt>
                <c:pt idx="246">
                  <c:v>185</c:v>
                </c:pt>
                <c:pt idx="247">
                  <c:v>190</c:v>
                </c:pt>
                <c:pt idx="248">
                  <c:v>190</c:v>
                </c:pt>
                <c:pt idx="249">
                  <c:v>181</c:v>
                </c:pt>
                <c:pt idx="250">
                  <c:v>195</c:v>
                </c:pt>
                <c:pt idx="251">
                  <c:v>193</c:v>
                </c:pt>
                <c:pt idx="252">
                  <c:v>190</c:v>
                </c:pt>
                <c:pt idx="253">
                  <c:v>183</c:v>
                </c:pt>
                <c:pt idx="254">
                  <c:v>180</c:v>
                </c:pt>
                <c:pt idx="255">
                  <c:v>186</c:v>
                </c:pt>
                <c:pt idx="256">
                  <c:v>196</c:v>
                </c:pt>
                <c:pt idx="257">
                  <c:v>187</c:v>
                </c:pt>
                <c:pt idx="258">
                  <c:v>194</c:v>
                </c:pt>
                <c:pt idx="259">
                  <c:v>202</c:v>
                </c:pt>
                <c:pt idx="260">
                  <c:v>184</c:v>
                </c:pt>
                <c:pt idx="261">
                  <c:v>196</c:v>
                </c:pt>
                <c:pt idx="262">
                  <c:v>188</c:v>
                </c:pt>
                <c:pt idx="263">
                  <c:v>194</c:v>
                </c:pt>
                <c:pt idx="264">
                  <c:v>186</c:v>
                </c:pt>
                <c:pt idx="265">
                  <c:v>189</c:v>
                </c:pt>
                <c:pt idx="266">
                  <c:v>198</c:v>
                </c:pt>
                <c:pt idx="267">
                  <c:v>197</c:v>
                </c:pt>
                <c:pt idx="268">
                  <c:v>193</c:v>
                </c:pt>
                <c:pt idx="269">
                  <c:v>192</c:v>
                </c:pt>
                <c:pt idx="270">
                  <c:v>196</c:v>
                </c:pt>
                <c:pt idx="271">
                  <c:v>193</c:v>
                </c:pt>
                <c:pt idx="272">
                  <c:v>187</c:v>
                </c:pt>
                <c:pt idx="273">
                  <c:v>184</c:v>
                </c:pt>
                <c:pt idx="274">
                  <c:v>193</c:v>
                </c:pt>
                <c:pt idx="275">
                  <c:v>195</c:v>
                </c:pt>
                <c:pt idx="276">
                  <c:v>190</c:v>
                </c:pt>
                <c:pt idx="277">
                  <c:v>190</c:v>
                </c:pt>
                <c:pt idx="278">
                  <c:v>176</c:v>
                </c:pt>
                <c:pt idx="279">
                  <c:v>195</c:v>
                </c:pt>
                <c:pt idx="280">
                  <c:v>190</c:v>
                </c:pt>
                <c:pt idx="281">
                  <c:v>197</c:v>
                </c:pt>
                <c:pt idx="282">
                  <c:v>182</c:v>
                </c:pt>
                <c:pt idx="283">
                  <c:v>187</c:v>
                </c:pt>
                <c:pt idx="284">
                  <c:v>174</c:v>
                </c:pt>
                <c:pt idx="285">
                  <c:v>185</c:v>
                </c:pt>
                <c:pt idx="286">
                  <c:v>185</c:v>
                </c:pt>
                <c:pt idx="287">
                  <c:v>193</c:v>
                </c:pt>
                <c:pt idx="288">
                  <c:v>191</c:v>
                </c:pt>
                <c:pt idx="289">
                  <c:v>200</c:v>
                </c:pt>
                <c:pt idx="290">
                  <c:v>190</c:v>
                </c:pt>
                <c:pt idx="291">
                  <c:v>202</c:v>
                </c:pt>
                <c:pt idx="292">
                  <c:v>195</c:v>
                </c:pt>
                <c:pt idx="293">
                  <c:v>191</c:v>
                </c:pt>
                <c:pt idx="294">
                  <c:v>189</c:v>
                </c:pt>
                <c:pt idx="295">
                  <c:v>187</c:v>
                </c:pt>
                <c:pt idx="296">
                  <c:v>187</c:v>
                </c:pt>
                <c:pt idx="297">
                  <c:v>184</c:v>
                </c:pt>
                <c:pt idx="298">
                  <c:v>195</c:v>
                </c:pt>
                <c:pt idx="299">
                  <c:v>189</c:v>
                </c:pt>
                <c:pt idx="300">
                  <c:v>190</c:v>
                </c:pt>
                <c:pt idx="301">
                  <c:v>199</c:v>
                </c:pt>
                <c:pt idx="302">
                  <c:v>186</c:v>
                </c:pt>
                <c:pt idx="303">
                  <c:v>188</c:v>
                </c:pt>
                <c:pt idx="304">
                  <c:v>181</c:v>
                </c:pt>
                <c:pt idx="305">
                  <c:v>187</c:v>
                </c:pt>
                <c:pt idx="306">
                  <c:v>197</c:v>
                </c:pt>
                <c:pt idx="307">
                  <c:v>195</c:v>
                </c:pt>
                <c:pt idx="308">
                  <c:v>191</c:v>
                </c:pt>
                <c:pt idx="309">
                  <c:v>195</c:v>
                </c:pt>
                <c:pt idx="310">
                  <c:v>178</c:v>
                </c:pt>
                <c:pt idx="311">
                  <c:v>178</c:v>
                </c:pt>
                <c:pt idx="312">
                  <c:v>187</c:v>
                </c:pt>
                <c:pt idx="313">
                  <c:v>191</c:v>
                </c:pt>
                <c:pt idx="314">
                  <c:v>182</c:v>
                </c:pt>
                <c:pt idx="315">
                  <c:v>187</c:v>
                </c:pt>
                <c:pt idx="316">
                  <c:v>189</c:v>
                </c:pt>
                <c:pt idx="317">
                  <c:v>193</c:v>
                </c:pt>
                <c:pt idx="318">
                  <c:v>187</c:v>
                </c:pt>
                <c:pt idx="319">
                  <c:v>181</c:v>
                </c:pt>
                <c:pt idx="320">
                  <c:v>191</c:v>
                </c:pt>
                <c:pt idx="321">
                  <c:v>172</c:v>
                </c:pt>
                <c:pt idx="322">
                  <c:v>182</c:v>
                </c:pt>
                <c:pt idx="323">
                  <c:v>185</c:v>
                </c:pt>
                <c:pt idx="324">
                  <c:v>187</c:v>
                </c:pt>
                <c:pt idx="325">
                  <c:v>186</c:v>
                </c:pt>
                <c:pt idx="326">
                  <c:v>183</c:v>
                </c:pt>
                <c:pt idx="327">
                  <c:v>190</c:v>
                </c:pt>
                <c:pt idx="328">
                  <c:v>186</c:v>
                </c:pt>
                <c:pt idx="329">
                  <c:v>191</c:v>
                </c:pt>
                <c:pt idx="330">
                  <c:v>188</c:v>
                </c:pt>
                <c:pt idx="331">
                  <c:v>185</c:v>
                </c:pt>
                <c:pt idx="332">
                  <c:v>192</c:v>
                </c:pt>
                <c:pt idx="333">
                  <c:v>179</c:v>
                </c:pt>
                <c:pt idx="334">
                  <c:v>193</c:v>
                </c:pt>
                <c:pt idx="335">
                  <c:v>187</c:v>
                </c:pt>
                <c:pt idx="336">
                  <c:v>178</c:v>
                </c:pt>
                <c:pt idx="337">
                  <c:v>188</c:v>
                </c:pt>
                <c:pt idx="338">
                  <c:v>187</c:v>
                </c:pt>
                <c:pt idx="339">
                  <c:v>181</c:v>
                </c:pt>
                <c:pt idx="340">
                  <c:v>184</c:v>
                </c:pt>
                <c:pt idx="341">
                  <c:v>192</c:v>
                </c:pt>
              </c:numCache>
            </c:numRef>
          </c:xVal>
          <c:yVal>
            <c:numRef>
              <c:f>penguins_size!$F$2:$F$345</c:f>
              <c:numCache>
                <c:formatCode>General</c:formatCode>
                <c:ptCount val="344"/>
                <c:pt idx="0">
                  <c:v>6300</c:v>
                </c:pt>
                <c:pt idx="1">
                  <c:v>6050</c:v>
                </c:pt>
                <c:pt idx="2">
                  <c:v>6000</c:v>
                </c:pt>
                <c:pt idx="3">
                  <c:v>6000</c:v>
                </c:pt>
                <c:pt idx="4">
                  <c:v>5950</c:v>
                </c:pt>
                <c:pt idx="5">
                  <c:v>5950</c:v>
                </c:pt>
                <c:pt idx="6">
                  <c:v>5850</c:v>
                </c:pt>
                <c:pt idx="7">
                  <c:v>5850</c:v>
                </c:pt>
                <c:pt idx="8">
                  <c:v>5850</c:v>
                </c:pt>
                <c:pt idx="9">
                  <c:v>5800</c:v>
                </c:pt>
                <c:pt idx="10">
                  <c:v>5800</c:v>
                </c:pt>
                <c:pt idx="11">
                  <c:v>5750</c:v>
                </c:pt>
                <c:pt idx="12">
                  <c:v>5700</c:v>
                </c:pt>
                <c:pt idx="13">
                  <c:v>5700</c:v>
                </c:pt>
                <c:pt idx="14">
                  <c:v>5700</c:v>
                </c:pt>
                <c:pt idx="15">
                  <c:v>5700</c:v>
                </c:pt>
                <c:pt idx="16">
                  <c:v>5700</c:v>
                </c:pt>
                <c:pt idx="17">
                  <c:v>5650</c:v>
                </c:pt>
                <c:pt idx="18">
                  <c:v>5650</c:v>
                </c:pt>
                <c:pt idx="19">
                  <c:v>5650</c:v>
                </c:pt>
                <c:pt idx="20">
                  <c:v>5600</c:v>
                </c:pt>
                <c:pt idx="21">
                  <c:v>5600</c:v>
                </c:pt>
                <c:pt idx="22">
                  <c:v>5550</c:v>
                </c:pt>
                <c:pt idx="23">
                  <c:v>5550</c:v>
                </c:pt>
                <c:pt idx="24">
                  <c:v>5550</c:v>
                </c:pt>
                <c:pt idx="25">
                  <c:v>5550</c:v>
                </c:pt>
                <c:pt idx="26">
                  <c:v>5550</c:v>
                </c:pt>
                <c:pt idx="27">
                  <c:v>5550</c:v>
                </c:pt>
                <c:pt idx="28">
                  <c:v>5500</c:v>
                </c:pt>
                <c:pt idx="29">
                  <c:v>5500</c:v>
                </c:pt>
                <c:pt idx="30">
                  <c:v>5500</c:v>
                </c:pt>
                <c:pt idx="31">
                  <c:v>5500</c:v>
                </c:pt>
                <c:pt idx="32">
                  <c:v>5500</c:v>
                </c:pt>
                <c:pt idx="33">
                  <c:v>5450</c:v>
                </c:pt>
                <c:pt idx="34">
                  <c:v>5400</c:v>
                </c:pt>
                <c:pt idx="35">
                  <c:v>5400</c:v>
                </c:pt>
                <c:pt idx="36">
                  <c:v>5400</c:v>
                </c:pt>
                <c:pt idx="37">
                  <c:v>5400</c:v>
                </c:pt>
                <c:pt idx="38">
                  <c:v>5400</c:v>
                </c:pt>
                <c:pt idx="39">
                  <c:v>5350</c:v>
                </c:pt>
                <c:pt idx="40">
                  <c:v>5350</c:v>
                </c:pt>
                <c:pt idx="41">
                  <c:v>5350</c:v>
                </c:pt>
                <c:pt idx="42">
                  <c:v>5300</c:v>
                </c:pt>
                <c:pt idx="43">
                  <c:v>5300</c:v>
                </c:pt>
                <c:pt idx="44">
                  <c:v>5300</c:v>
                </c:pt>
                <c:pt idx="45">
                  <c:v>5300</c:v>
                </c:pt>
                <c:pt idx="46">
                  <c:v>5250</c:v>
                </c:pt>
                <c:pt idx="47">
                  <c:v>5250</c:v>
                </c:pt>
                <c:pt idx="48">
                  <c:v>5250</c:v>
                </c:pt>
                <c:pt idx="49">
                  <c:v>5200</c:v>
                </c:pt>
                <c:pt idx="50">
                  <c:v>5200</c:v>
                </c:pt>
                <c:pt idx="51">
                  <c:v>5200</c:v>
                </c:pt>
                <c:pt idx="52">
                  <c:v>5200</c:v>
                </c:pt>
                <c:pt idx="53">
                  <c:v>5150</c:v>
                </c:pt>
                <c:pt idx="54">
                  <c:v>5150</c:v>
                </c:pt>
                <c:pt idx="55">
                  <c:v>5100</c:v>
                </c:pt>
                <c:pt idx="56">
                  <c:v>5100</c:v>
                </c:pt>
                <c:pt idx="57">
                  <c:v>5100</c:v>
                </c:pt>
                <c:pt idx="58">
                  <c:v>5050</c:v>
                </c:pt>
                <c:pt idx="59">
                  <c:v>5050</c:v>
                </c:pt>
                <c:pt idx="60">
                  <c:v>5050</c:v>
                </c:pt>
                <c:pt idx="61">
                  <c:v>5000</c:v>
                </c:pt>
                <c:pt idx="62">
                  <c:v>5000</c:v>
                </c:pt>
                <c:pt idx="63">
                  <c:v>5000</c:v>
                </c:pt>
                <c:pt idx="64">
                  <c:v>5000</c:v>
                </c:pt>
                <c:pt idx="65">
                  <c:v>5000</c:v>
                </c:pt>
                <c:pt idx="66">
                  <c:v>5000</c:v>
                </c:pt>
                <c:pt idx="67">
                  <c:v>4975</c:v>
                </c:pt>
                <c:pt idx="68">
                  <c:v>4950</c:v>
                </c:pt>
                <c:pt idx="69">
                  <c:v>4950</c:v>
                </c:pt>
                <c:pt idx="70">
                  <c:v>4925</c:v>
                </c:pt>
                <c:pt idx="71">
                  <c:v>4925</c:v>
                </c:pt>
                <c:pt idx="72">
                  <c:v>4900</c:v>
                </c:pt>
                <c:pt idx="73">
                  <c:v>4900</c:v>
                </c:pt>
                <c:pt idx="74">
                  <c:v>4875</c:v>
                </c:pt>
                <c:pt idx="75">
                  <c:v>4875</c:v>
                </c:pt>
                <c:pt idx="76">
                  <c:v>4875</c:v>
                </c:pt>
                <c:pt idx="77">
                  <c:v>4850</c:v>
                </c:pt>
                <c:pt idx="78">
                  <c:v>4850</c:v>
                </c:pt>
                <c:pt idx="79">
                  <c:v>4850</c:v>
                </c:pt>
                <c:pt idx="80">
                  <c:v>4850</c:v>
                </c:pt>
                <c:pt idx="81">
                  <c:v>4800</c:v>
                </c:pt>
                <c:pt idx="82">
                  <c:v>4800</c:v>
                </c:pt>
                <c:pt idx="83">
                  <c:v>4800</c:v>
                </c:pt>
                <c:pt idx="84">
                  <c:v>4775</c:v>
                </c:pt>
                <c:pt idx="85">
                  <c:v>4750</c:v>
                </c:pt>
                <c:pt idx="86">
                  <c:v>4750</c:v>
                </c:pt>
                <c:pt idx="87">
                  <c:v>4750</c:v>
                </c:pt>
                <c:pt idx="88">
                  <c:v>4750</c:v>
                </c:pt>
                <c:pt idx="89">
                  <c:v>4750</c:v>
                </c:pt>
                <c:pt idx="90">
                  <c:v>4725</c:v>
                </c:pt>
                <c:pt idx="91">
                  <c:v>4725</c:v>
                </c:pt>
                <c:pt idx="92">
                  <c:v>4725</c:v>
                </c:pt>
                <c:pt idx="93">
                  <c:v>4700</c:v>
                </c:pt>
                <c:pt idx="94">
                  <c:v>4700</c:v>
                </c:pt>
                <c:pt idx="95">
                  <c:v>4700</c:v>
                </c:pt>
                <c:pt idx="96">
                  <c:v>4700</c:v>
                </c:pt>
                <c:pt idx="97">
                  <c:v>4700</c:v>
                </c:pt>
                <c:pt idx="98">
                  <c:v>4700</c:v>
                </c:pt>
                <c:pt idx="99">
                  <c:v>4675</c:v>
                </c:pt>
                <c:pt idx="100">
                  <c:v>4650</c:v>
                </c:pt>
                <c:pt idx="101">
                  <c:v>4650</c:v>
                </c:pt>
                <c:pt idx="102">
                  <c:v>4650</c:v>
                </c:pt>
                <c:pt idx="103">
                  <c:v>4650</c:v>
                </c:pt>
                <c:pt idx="104">
                  <c:v>4650</c:v>
                </c:pt>
                <c:pt idx="105">
                  <c:v>4625</c:v>
                </c:pt>
                <c:pt idx="106">
                  <c:v>4625</c:v>
                </c:pt>
                <c:pt idx="107">
                  <c:v>4600</c:v>
                </c:pt>
                <c:pt idx="108">
                  <c:v>4600</c:v>
                </c:pt>
                <c:pt idx="109">
                  <c:v>4600</c:v>
                </c:pt>
                <c:pt idx="110">
                  <c:v>4600</c:v>
                </c:pt>
                <c:pt idx="111">
                  <c:v>4600</c:v>
                </c:pt>
                <c:pt idx="112">
                  <c:v>4575</c:v>
                </c:pt>
                <c:pt idx="113">
                  <c:v>4550</c:v>
                </c:pt>
                <c:pt idx="114">
                  <c:v>4550</c:v>
                </c:pt>
                <c:pt idx="115">
                  <c:v>4500</c:v>
                </c:pt>
                <c:pt idx="116">
                  <c:v>4500</c:v>
                </c:pt>
                <c:pt idx="117">
                  <c:v>4500</c:v>
                </c:pt>
                <c:pt idx="118">
                  <c:v>4475</c:v>
                </c:pt>
                <c:pt idx="119">
                  <c:v>4450</c:v>
                </c:pt>
                <c:pt idx="120">
                  <c:v>4450</c:v>
                </c:pt>
                <c:pt idx="121">
                  <c:v>4450</c:v>
                </c:pt>
                <c:pt idx="122">
                  <c:v>4450</c:v>
                </c:pt>
                <c:pt idx="123">
                  <c:v>4450</c:v>
                </c:pt>
                <c:pt idx="124">
                  <c:v>4400</c:v>
                </c:pt>
                <c:pt idx="125">
                  <c:v>4400</c:v>
                </c:pt>
                <c:pt idx="126">
                  <c:v>4400</c:v>
                </c:pt>
                <c:pt idx="127">
                  <c:v>4400</c:v>
                </c:pt>
                <c:pt idx="128">
                  <c:v>4400</c:v>
                </c:pt>
                <c:pt idx="129">
                  <c:v>4400</c:v>
                </c:pt>
                <c:pt idx="130">
                  <c:v>4400</c:v>
                </c:pt>
                <c:pt idx="131">
                  <c:v>4400</c:v>
                </c:pt>
                <c:pt idx="132">
                  <c:v>4375</c:v>
                </c:pt>
                <c:pt idx="133">
                  <c:v>4350</c:v>
                </c:pt>
                <c:pt idx="134">
                  <c:v>4350</c:v>
                </c:pt>
                <c:pt idx="135">
                  <c:v>4300</c:v>
                </c:pt>
                <c:pt idx="136">
                  <c:v>4300</c:v>
                </c:pt>
                <c:pt idx="137">
                  <c:v>4300</c:v>
                </c:pt>
                <c:pt idx="138">
                  <c:v>4300</c:v>
                </c:pt>
                <c:pt idx="139">
                  <c:v>4300</c:v>
                </c:pt>
                <c:pt idx="140">
                  <c:v>4300</c:v>
                </c:pt>
                <c:pt idx="141">
                  <c:v>4300</c:v>
                </c:pt>
                <c:pt idx="142">
                  <c:v>4300</c:v>
                </c:pt>
                <c:pt idx="143">
                  <c:v>4275</c:v>
                </c:pt>
                <c:pt idx="144">
                  <c:v>4250</c:v>
                </c:pt>
                <c:pt idx="145">
                  <c:v>4250</c:v>
                </c:pt>
                <c:pt idx="146">
                  <c:v>4250</c:v>
                </c:pt>
                <c:pt idx="147">
                  <c:v>4250</c:v>
                </c:pt>
                <c:pt idx="148">
                  <c:v>4250</c:v>
                </c:pt>
                <c:pt idx="149">
                  <c:v>4200</c:v>
                </c:pt>
                <c:pt idx="150">
                  <c:v>4200</c:v>
                </c:pt>
                <c:pt idx="151">
                  <c:v>4200</c:v>
                </c:pt>
                <c:pt idx="152">
                  <c:v>4200</c:v>
                </c:pt>
                <c:pt idx="153">
                  <c:v>4200</c:v>
                </c:pt>
                <c:pt idx="154">
                  <c:v>4150</c:v>
                </c:pt>
                <c:pt idx="155">
                  <c:v>4150</c:v>
                </c:pt>
                <c:pt idx="156">
                  <c:v>4150</c:v>
                </c:pt>
                <c:pt idx="157">
                  <c:v>4150</c:v>
                </c:pt>
                <c:pt idx="158">
                  <c:v>4150</c:v>
                </c:pt>
                <c:pt idx="159">
                  <c:v>4150</c:v>
                </c:pt>
                <c:pt idx="160">
                  <c:v>4100</c:v>
                </c:pt>
                <c:pt idx="161">
                  <c:v>4100</c:v>
                </c:pt>
                <c:pt idx="162">
                  <c:v>4100</c:v>
                </c:pt>
                <c:pt idx="163">
                  <c:v>4100</c:v>
                </c:pt>
                <c:pt idx="164">
                  <c:v>4100</c:v>
                </c:pt>
                <c:pt idx="165">
                  <c:v>4075</c:v>
                </c:pt>
                <c:pt idx="166">
                  <c:v>4050</c:v>
                </c:pt>
                <c:pt idx="167">
                  <c:v>4050</c:v>
                </c:pt>
                <c:pt idx="168">
                  <c:v>4050</c:v>
                </c:pt>
                <c:pt idx="169">
                  <c:v>4050</c:v>
                </c:pt>
                <c:pt idx="170">
                  <c:v>4050</c:v>
                </c:pt>
                <c:pt idx="171">
                  <c:v>4050</c:v>
                </c:pt>
                <c:pt idx="172">
                  <c:v>4000</c:v>
                </c:pt>
                <c:pt idx="173">
                  <c:v>4000</c:v>
                </c:pt>
                <c:pt idx="174">
                  <c:v>4000</c:v>
                </c:pt>
                <c:pt idx="175">
                  <c:v>4000</c:v>
                </c:pt>
                <c:pt idx="176">
                  <c:v>4000</c:v>
                </c:pt>
                <c:pt idx="177">
                  <c:v>3975</c:v>
                </c:pt>
                <c:pt idx="178">
                  <c:v>3950</c:v>
                </c:pt>
                <c:pt idx="179">
                  <c:v>3950</c:v>
                </c:pt>
                <c:pt idx="180">
                  <c:v>3950</c:v>
                </c:pt>
                <c:pt idx="181">
                  <c:v>3950</c:v>
                </c:pt>
                <c:pt idx="182">
                  <c:v>3950</c:v>
                </c:pt>
                <c:pt idx="183">
                  <c:v>3950</c:v>
                </c:pt>
                <c:pt idx="184">
                  <c:v>3950</c:v>
                </c:pt>
                <c:pt idx="185">
                  <c:v>3950</c:v>
                </c:pt>
                <c:pt idx="186">
                  <c:v>3950</c:v>
                </c:pt>
                <c:pt idx="187">
                  <c:v>3950</c:v>
                </c:pt>
                <c:pt idx="188">
                  <c:v>3900</c:v>
                </c:pt>
                <c:pt idx="189">
                  <c:v>3900</c:v>
                </c:pt>
                <c:pt idx="190">
                  <c:v>3900</c:v>
                </c:pt>
                <c:pt idx="191">
                  <c:v>3900</c:v>
                </c:pt>
                <c:pt idx="192">
                  <c:v>3900</c:v>
                </c:pt>
                <c:pt idx="193">
                  <c:v>3900</c:v>
                </c:pt>
                <c:pt idx="194">
                  <c:v>3900</c:v>
                </c:pt>
                <c:pt idx="195">
                  <c:v>3900</c:v>
                </c:pt>
                <c:pt idx="196">
                  <c:v>3900</c:v>
                </c:pt>
                <c:pt idx="197">
                  <c:v>3900</c:v>
                </c:pt>
                <c:pt idx="198">
                  <c:v>3875</c:v>
                </c:pt>
                <c:pt idx="199">
                  <c:v>3850</c:v>
                </c:pt>
                <c:pt idx="200">
                  <c:v>3825</c:v>
                </c:pt>
                <c:pt idx="201">
                  <c:v>3800</c:v>
                </c:pt>
                <c:pt idx="202">
                  <c:v>3800</c:v>
                </c:pt>
                <c:pt idx="203">
                  <c:v>3800</c:v>
                </c:pt>
                <c:pt idx="204">
                  <c:v>3800</c:v>
                </c:pt>
                <c:pt idx="205">
                  <c:v>3800</c:v>
                </c:pt>
                <c:pt idx="206">
                  <c:v>3800</c:v>
                </c:pt>
                <c:pt idx="207">
                  <c:v>3800</c:v>
                </c:pt>
                <c:pt idx="208">
                  <c:v>3800</c:v>
                </c:pt>
                <c:pt idx="209">
                  <c:v>3800</c:v>
                </c:pt>
                <c:pt idx="210">
                  <c:v>3800</c:v>
                </c:pt>
                <c:pt idx="211">
                  <c:v>3800</c:v>
                </c:pt>
                <c:pt idx="212">
                  <c:v>3800</c:v>
                </c:pt>
                <c:pt idx="213">
                  <c:v>3775</c:v>
                </c:pt>
                <c:pt idx="214">
                  <c:v>3775</c:v>
                </c:pt>
                <c:pt idx="215">
                  <c:v>3775</c:v>
                </c:pt>
                <c:pt idx="216">
                  <c:v>3775</c:v>
                </c:pt>
                <c:pt idx="217">
                  <c:v>3750</c:v>
                </c:pt>
                <c:pt idx="218">
                  <c:v>3750</c:v>
                </c:pt>
                <c:pt idx="219">
                  <c:v>3750</c:v>
                </c:pt>
                <c:pt idx="220">
                  <c:v>3750</c:v>
                </c:pt>
                <c:pt idx="221">
                  <c:v>3750</c:v>
                </c:pt>
                <c:pt idx="222">
                  <c:v>3725</c:v>
                </c:pt>
                <c:pt idx="223">
                  <c:v>3725</c:v>
                </c:pt>
                <c:pt idx="224">
                  <c:v>3725</c:v>
                </c:pt>
                <c:pt idx="225">
                  <c:v>3700</c:v>
                </c:pt>
                <c:pt idx="226">
                  <c:v>3700</c:v>
                </c:pt>
                <c:pt idx="227">
                  <c:v>3700</c:v>
                </c:pt>
                <c:pt idx="228">
                  <c:v>3700</c:v>
                </c:pt>
                <c:pt idx="229">
                  <c:v>3700</c:v>
                </c:pt>
                <c:pt idx="230">
                  <c:v>3700</c:v>
                </c:pt>
                <c:pt idx="231">
                  <c:v>3700</c:v>
                </c:pt>
                <c:pt idx="232">
                  <c:v>3700</c:v>
                </c:pt>
                <c:pt idx="233">
                  <c:v>3700</c:v>
                </c:pt>
                <c:pt idx="234">
                  <c:v>3700</c:v>
                </c:pt>
                <c:pt idx="235">
                  <c:v>3700</c:v>
                </c:pt>
                <c:pt idx="236">
                  <c:v>3675</c:v>
                </c:pt>
                <c:pt idx="237">
                  <c:v>3675</c:v>
                </c:pt>
                <c:pt idx="238">
                  <c:v>3650</c:v>
                </c:pt>
                <c:pt idx="239">
                  <c:v>3650</c:v>
                </c:pt>
                <c:pt idx="240">
                  <c:v>3650</c:v>
                </c:pt>
                <c:pt idx="241">
                  <c:v>3650</c:v>
                </c:pt>
                <c:pt idx="242">
                  <c:v>3650</c:v>
                </c:pt>
                <c:pt idx="243">
                  <c:v>3650</c:v>
                </c:pt>
                <c:pt idx="244">
                  <c:v>3625</c:v>
                </c:pt>
                <c:pt idx="245">
                  <c:v>3600</c:v>
                </c:pt>
                <c:pt idx="246">
                  <c:v>3600</c:v>
                </c:pt>
                <c:pt idx="247">
                  <c:v>3600</c:v>
                </c:pt>
                <c:pt idx="248">
                  <c:v>3600</c:v>
                </c:pt>
                <c:pt idx="249">
                  <c:v>3600</c:v>
                </c:pt>
                <c:pt idx="250">
                  <c:v>3600</c:v>
                </c:pt>
                <c:pt idx="251">
                  <c:v>3600</c:v>
                </c:pt>
                <c:pt idx="252">
                  <c:v>3575</c:v>
                </c:pt>
                <c:pt idx="253">
                  <c:v>3550</c:v>
                </c:pt>
                <c:pt idx="254">
                  <c:v>3550</c:v>
                </c:pt>
                <c:pt idx="255">
                  <c:v>3550</c:v>
                </c:pt>
                <c:pt idx="256">
                  <c:v>3550</c:v>
                </c:pt>
                <c:pt idx="257">
                  <c:v>3550</c:v>
                </c:pt>
                <c:pt idx="258">
                  <c:v>3550</c:v>
                </c:pt>
                <c:pt idx="259">
                  <c:v>3550</c:v>
                </c:pt>
                <c:pt idx="260">
                  <c:v>3550</c:v>
                </c:pt>
                <c:pt idx="261">
                  <c:v>3550</c:v>
                </c:pt>
                <c:pt idx="262">
                  <c:v>3525</c:v>
                </c:pt>
                <c:pt idx="263">
                  <c:v>3525</c:v>
                </c:pt>
                <c:pt idx="264">
                  <c:v>3500</c:v>
                </c:pt>
                <c:pt idx="265">
                  <c:v>3500</c:v>
                </c:pt>
                <c:pt idx="266">
                  <c:v>3500</c:v>
                </c:pt>
                <c:pt idx="267">
                  <c:v>3500</c:v>
                </c:pt>
                <c:pt idx="268">
                  <c:v>3500</c:v>
                </c:pt>
                <c:pt idx="269">
                  <c:v>3500</c:v>
                </c:pt>
                <c:pt idx="270">
                  <c:v>3500</c:v>
                </c:pt>
                <c:pt idx="271">
                  <c:v>3475</c:v>
                </c:pt>
                <c:pt idx="272">
                  <c:v>3475</c:v>
                </c:pt>
                <c:pt idx="273">
                  <c:v>3475</c:v>
                </c:pt>
                <c:pt idx="274">
                  <c:v>3450</c:v>
                </c:pt>
                <c:pt idx="275">
                  <c:v>3450</c:v>
                </c:pt>
                <c:pt idx="276">
                  <c:v>3450</c:v>
                </c:pt>
                <c:pt idx="277">
                  <c:v>3450</c:v>
                </c:pt>
                <c:pt idx="278">
                  <c:v>3450</c:v>
                </c:pt>
                <c:pt idx="279">
                  <c:v>3450</c:v>
                </c:pt>
                <c:pt idx="280">
                  <c:v>3450</c:v>
                </c:pt>
                <c:pt idx="281">
                  <c:v>3450</c:v>
                </c:pt>
                <c:pt idx="282">
                  <c:v>3425</c:v>
                </c:pt>
                <c:pt idx="283">
                  <c:v>3425</c:v>
                </c:pt>
                <c:pt idx="284">
                  <c:v>3400</c:v>
                </c:pt>
                <c:pt idx="285">
                  <c:v>3400</c:v>
                </c:pt>
                <c:pt idx="286">
                  <c:v>3400</c:v>
                </c:pt>
                <c:pt idx="287">
                  <c:v>3400</c:v>
                </c:pt>
                <c:pt idx="288">
                  <c:v>3400</c:v>
                </c:pt>
                <c:pt idx="289">
                  <c:v>3400</c:v>
                </c:pt>
                <c:pt idx="290">
                  <c:v>3400</c:v>
                </c:pt>
                <c:pt idx="291">
                  <c:v>3400</c:v>
                </c:pt>
                <c:pt idx="292">
                  <c:v>3350</c:v>
                </c:pt>
                <c:pt idx="293">
                  <c:v>3350</c:v>
                </c:pt>
                <c:pt idx="294">
                  <c:v>3350</c:v>
                </c:pt>
                <c:pt idx="295">
                  <c:v>3350</c:v>
                </c:pt>
                <c:pt idx="296">
                  <c:v>3350</c:v>
                </c:pt>
                <c:pt idx="297">
                  <c:v>3325</c:v>
                </c:pt>
                <c:pt idx="298">
                  <c:v>3325</c:v>
                </c:pt>
                <c:pt idx="299">
                  <c:v>3325</c:v>
                </c:pt>
                <c:pt idx="300">
                  <c:v>3325</c:v>
                </c:pt>
                <c:pt idx="301">
                  <c:v>3325</c:v>
                </c:pt>
                <c:pt idx="302">
                  <c:v>3300</c:v>
                </c:pt>
                <c:pt idx="303">
                  <c:v>3300</c:v>
                </c:pt>
                <c:pt idx="304">
                  <c:v>3300</c:v>
                </c:pt>
                <c:pt idx="305">
                  <c:v>3300</c:v>
                </c:pt>
                <c:pt idx="306">
                  <c:v>3300</c:v>
                </c:pt>
                <c:pt idx="307">
                  <c:v>3300</c:v>
                </c:pt>
                <c:pt idx="308">
                  <c:v>3275</c:v>
                </c:pt>
                <c:pt idx="309">
                  <c:v>3250</c:v>
                </c:pt>
                <c:pt idx="310">
                  <c:v>3250</c:v>
                </c:pt>
                <c:pt idx="311">
                  <c:v>3250</c:v>
                </c:pt>
                <c:pt idx="312">
                  <c:v>3250</c:v>
                </c:pt>
                <c:pt idx="313">
                  <c:v>3250</c:v>
                </c:pt>
                <c:pt idx="314">
                  <c:v>3200</c:v>
                </c:pt>
                <c:pt idx="315">
                  <c:v>3200</c:v>
                </c:pt>
                <c:pt idx="316">
                  <c:v>3200</c:v>
                </c:pt>
                <c:pt idx="317">
                  <c:v>3200</c:v>
                </c:pt>
                <c:pt idx="318">
                  <c:v>3200</c:v>
                </c:pt>
                <c:pt idx="319">
                  <c:v>3175</c:v>
                </c:pt>
                <c:pt idx="320">
                  <c:v>3175</c:v>
                </c:pt>
                <c:pt idx="321">
                  <c:v>3150</c:v>
                </c:pt>
                <c:pt idx="322">
                  <c:v>3150</c:v>
                </c:pt>
                <c:pt idx="323">
                  <c:v>3150</c:v>
                </c:pt>
                <c:pt idx="324">
                  <c:v>3150</c:v>
                </c:pt>
                <c:pt idx="325">
                  <c:v>3100</c:v>
                </c:pt>
                <c:pt idx="326">
                  <c:v>3075</c:v>
                </c:pt>
                <c:pt idx="327">
                  <c:v>3050</c:v>
                </c:pt>
                <c:pt idx="328">
                  <c:v>3050</c:v>
                </c:pt>
                <c:pt idx="329">
                  <c:v>3050</c:v>
                </c:pt>
                <c:pt idx="330">
                  <c:v>3050</c:v>
                </c:pt>
                <c:pt idx="331">
                  <c:v>3000</c:v>
                </c:pt>
                <c:pt idx="332">
                  <c:v>3000</c:v>
                </c:pt>
                <c:pt idx="333">
                  <c:v>2975</c:v>
                </c:pt>
                <c:pt idx="334">
                  <c:v>2925</c:v>
                </c:pt>
                <c:pt idx="335">
                  <c:v>2900</c:v>
                </c:pt>
                <c:pt idx="336">
                  <c:v>2900</c:v>
                </c:pt>
                <c:pt idx="337">
                  <c:v>2900</c:v>
                </c:pt>
                <c:pt idx="338">
                  <c:v>2900</c:v>
                </c:pt>
                <c:pt idx="339">
                  <c:v>2850</c:v>
                </c:pt>
                <c:pt idx="340">
                  <c:v>2850</c:v>
                </c:pt>
                <c:pt idx="341">
                  <c:v>2700</c:v>
                </c:pt>
              </c:numCache>
            </c:numRef>
          </c:yVal>
          <c:smooth val="0"/>
          <c:extLst>
            <c:ext xmlns:c16="http://schemas.microsoft.com/office/drawing/2014/chart" uri="{C3380CC4-5D6E-409C-BE32-E72D297353CC}">
              <c16:uniqueId val="{00000000-C07A-48D7-BA9D-60ABA5EE4A85}"/>
            </c:ext>
          </c:extLst>
        </c:ser>
        <c:dLbls>
          <c:showLegendKey val="0"/>
          <c:showVal val="0"/>
          <c:showCatName val="0"/>
          <c:showSerName val="0"/>
          <c:showPercent val="0"/>
          <c:showBubbleSize val="0"/>
        </c:dLbls>
        <c:axId val="884640960"/>
        <c:axId val="884639520"/>
      </c:scatterChart>
      <c:valAx>
        <c:axId val="884640960"/>
        <c:scaling>
          <c:orientation val="minMax"/>
          <c:min val="170"/>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Flipper length</a:t>
                </a:r>
              </a:p>
            </c:rich>
          </c:tx>
          <c:layout>
            <c:manualLayout>
              <c:xMode val="edge"/>
              <c:yMode val="edge"/>
              <c:x val="0.40554326526617729"/>
              <c:y val="0.9316376678890474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84639520"/>
        <c:crosses val="autoZero"/>
        <c:crossBetween val="midCat"/>
        <c:majorUnit val="10"/>
      </c:valAx>
      <c:valAx>
        <c:axId val="884639520"/>
        <c:scaling>
          <c:orientation val="minMax"/>
          <c:min val="2500"/>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Body Mass</a:t>
                </a:r>
              </a:p>
            </c:rich>
          </c:tx>
          <c:layout>
            <c:manualLayout>
              <c:xMode val="edge"/>
              <c:yMode val="edge"/>
              <c:x val="1.808785161695017E-2"/>
              <c:y val="0.4093526443588948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84640960"/>
        <c:crosses val="autoZero"/>
        <c:crossBetween val="midCat"/>
        <c:majorUnit val="5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[penguins_sizes.xlsx]pivot tables!PivotTable23</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u="sng"/>
              <a:t>PERCENTAGE OF DATASET PER SPECIES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tables'!$M$121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926-4FE7-B8D1-EE9DEFE631C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926-4FE7-B8D1-EE9DEFE631C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926-4FE7-B8D1-EE9DEFE631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tables'!$L$122:$L$125</c:f>
              <c:strCache>
                <c:ptCount val="3"/>
                <c:pt idx="0">
                  <c:v>Adelie</c:v>
                </c:pt>
                <c:pt idx="1">
                  <c:v>Chinstrap</c:v>
                </c:pt>
                <c:pt idx="2">
                  <c:v>Gentoo</c:v>
                </c:pt>
              </c:strCache>
            </c:strRef>
          </c:cat>
          <c:val>
            <c:numRef>
              <c:f>'pivot tables'!$M$122:$M$125</c:f>
              <c:numCache>
                <c:formatCode>0.00%</c:formatCode>
                <c:ptCount val="3"/>
                <c:pt idx="0">
                  <c:v>0.44186046511627908</c:v>
                </c:pt>
                <c:pt idx="1">
                  <c:v>0.19767441860465115</c:v>
                </c:pt>
                <c:pt idx="2">
                  <c:v>0.36046511627906974</c:v>
                </c:pt>
              </c:numCache>
            </c:numRef>
          </c:val>
          <c:extLst>
            <c:ext xmlns:c16="http://schemas.microsoft.com/office/drawing/2014/chart" uri="{C3380CC4-5D6E-409C-BE32-E72D297353CC}">
              <c16:uniqueId val="{00000000-BBE2-44E8-A484-A9310A176C8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419218918705396"/>
          <c:y val="6.7440346601175524E-2"/>
          <c:w val="0.7962340332458443"/>
          <c:h val="0.80285870516185476"/>
        </c:manualLayout>
      </c:layout>
      <c:barChart>
        <c:barDir val="col"/>
        <c:grouping val="clustered"/>
        <c:varyColors val="0"/>
        <c:ser>
          <c:idx val="3"/>
          <c:order val="3"/>
          <c:tx>
            <c:v>Gentoos in Biscoe</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penguins_size!$A$2:$B$11</c:f>
              <c:multiLvlStrCache>
                <c:ptCount val="10"/>
                <c:lvl>
                  <c:pt idx="0">
                    <c:v>Biscoe</c:v>
                  </c:pt>
                  <c:pt idx="1">
                    <c:v>Biscoe</c:v>
                  </c:pt>
                  <c:pt idx="2">
                    <c:v>Biscoe</c:v>
                  </c:pt>
                  <c:pt idx="3">
                    <c:v>Biscoe</c:v>
                  </c:pt>
                  <c:pt idx="4">
                    <c:v>Biscoe</c:v>
                  </c:pt>
                  <c:pt idx="5">
                    <c:v>Biscoe</c:v>
                  </c:pt>
                  <c:pt idx="6">
                    <c:v>Biscoe</c:v>
                  </c:pt>
                  <c:pt idx="7">
                    <c:v>Biscoe</c:v>
                  </c:pt>
                  <c:pt idx="8">
                    <c:v>Biscoe</c:v>
                  </c:pt>
                  <c:pt idx="9">
                    <c:v>Biscoe</c:v>
                  </c:pt>
                </c:lvl>
                <c:lvl>
                  <c:pt idx="0">
                    <c:v>Gentoo</c:v>
                  </c:pt>
                  <c:pt idx="1">
                    <c:v>Gentoo</c:v>
                  </c:pt>
                  <c:pt idx="2">
                    <c:v>Gentoo</c:v>
                  </c:pt>
                  <c:pt idx="3">
                    <c:v>Gentoo</c:v>
                  </c:pt>
                  <c:pt idx="4">
                    <c:v>Gentoo</c:v>
                  </c:pt>
                  <c:pt idx="5">
                    <c:v>Gentoo</c:v>
                  </c:pt>
                  <c:pt idx="6">
                    <c:v>Gentoo</c:v>
                  </c:pt>
                  <c:pt idx="7">
                    <c:v>Gentoo</c:v>
                  </c:pt>
                  <c:pt idx="8">
                    <c:v>Gentoo</c:v>
                  </c:pt>
                  <c:pt idx="9">
                    <c:v>Gentoo</c:v>
                  </c:pt>
                </c:lvl>
              </c:multiLvlStrCache>
            </c:multiLvlStrRef>
          </c:cat>
          <c:val>
            <c:numRef>
              <c:f>penguins_size!$F$2:$F$11</c:f>
              <c:numCache>
                <c:formatCode>General</c:formatCode>
                <c:ptCount val="10"/>
                <c:pt idx="0">
                  <c:v>6300</c:v>
                </c:pt>
                <c:pt idx="1">
                  <c:v>6050</c:v>
                </c:pt>
                <c:pt idx="2">
                  <c:v>6000</c:v>
                </c:pt>
                <c:pt idx="3">
                  <c:v>6000</c:v>
                </c:pt>
                <c:pt idx="4">
                  <c:v>5950</c:v>
                </c:pt>
                <c:pt idx="5">
                  <c:v>5950</c:v>
                </c:pt>
                <c:pt idx="6">
                  <c:v>5850</c:v>
                </c:pt>
                <c:pt idx="7">
                  <c:v>5850</c:v>
                </c:pt>
                <c:pt idx="8">
                  <c:v>5850</c:v>
                </c:pt>
                <c:pt idx="9">
                  <c:v>5800</c:v>
                </c:pt>
              </c:numCache>
            </c:numRef>
          </c:val>
          <c:extLst>
            <c:ext xmlns:c16="http://schemas.microsoft.com/office/drawing/2014/chart" uri="{C3380CC4-5D6E-409C-BE32-E72D297353CC}">
              <c16:uniqueId val="{00000003-F4D7-495C-87E3-8B7D9D33DB8C}"/>
            </c:ext>
          </c:extLst>
        </c:ser>
        <c:dLbls>
          <c:showLegendKey val="0"/>
          <c:showVal val="0"/>
          <c:showCatName val="0"/>
          <c:showSerName val="0"/>
          <c:showPercent val="0"/>
          <c:showBubbleSize val="0"/>
        </c:dLbls>
        <c:gapWidth val="100"/>
        <c:overlap val="-24"/>
        <c:axId val="372288768"/>
        <c:axId val="372289248"/>
        <c:extLst>
          <c:ext xmlns:c15="http://schemas.microsoft.com/office/drawing/2012/chart" uri="{02D57815-91ED-43cb-92C2-25804820EDAC}">
            <c15:filteredBarSeries>
              <c15: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extLst>
                      <c:ext uri="{02D57815-91ED-43cb-92C2-25804820EDAC}">
                        <c15:formulaRef>
                          <c15:sqref>penguins_size!$A$2:$B$11</c15:sqref>
                        </c15:formulaRef>
                      </c:ext>
                    </c:extLst>
                    <c:multiLvlStrCache>
                      <c:ptCount val="10"/>
                      <c:lvl>
                        <c:pt idx="0">
                          <c:v>Biscoe</c:v>
                        </c:pt>
                        <c:pt idx="1">
                          <c:v>Biscoe</c:v>
                        </c:pt>
                        <c:pt idx="2">
                          <c:v>Biscoe</c:v>
                        </c:pt>
                        <c:pt idx="3">
                          <c:v>Biscoe</c:v>
                        </c:pt>
                        <c:pt idx="4">
                          <c:v>Biscoe</c:v>
                        </c:pt>
                        <c:pt idx="5">
                          <c:v>Biscoe</c:v>
                        </c:pt>
                        <c:pt idx="6">
                          <c:v>Biscoe</c:v>
                        </c:pt>
                        <c:pt idx="7">
                          <c:v>Biscoe</c:v>
                        </c:pt>
                        <c:pt idx="8">
                          <c:v>Biscoe</c:v>
                        </c:pt>
                        <c:pt idx="9">
                          <c:v>Biscoe</c:v>
                        </c:pt>
                      </c:lvl>
                      <c:lvl>
                        <c:pt idx="0">
                          <c:v>Gentoo</c:v>
                        </c:pt>
                        <c:pt idx="1">
                          <c:v>Gentoo</c:v>
                        </c:pt>
                        <c:pt idx="2">
                          <c:v>Gentoo</c:v>
                        </c:pt>
                        <c:pt idx="3">
                          <c:v>Gentoo</c:v>
                        </c:pt>
                        <c:pt idx="4">
                          <c:v>Gentoo</c:v>
                        </c:pt>
                        <c:pt idx="5">
                          <c:v>Gentoo</c:v>
                        </c:pt>
                        <c:pt idx="6">
                          <c:v>Gentoo</c:v>
                        </c:pt>
                        <c:pt idx="7">
                          <c:v>Gentoo</c:v>
                        </c:pt>
                        <c:pt idx="8">
                          <c:v>Gentoo</c:v>
                        </c:pt>
                        <c:pt idx="9">
                          <c:v>Gentoo</c:v>
                        </c:pt>
                      </c:lvl>
                    </c:multiLvlStrCache>
                  </c:multiLvlStrRef>
                </c:cat>
                <c:val>
                  <c:numRef>
                    <c:extLst>
                      <c:ext uri="{02D57815-91ED-43cb-92C2-25804820EDAC}">
                        <c15:formulaRef>
                          <c15:sqref>penguins_size!$C$2:$C$11</c15:sqref>
                        </c15:formulaRef>
                      </c:ext>
                    </c:extLst>
                    <c:numCache>
                      <c:formatCode>General</c:formatCode>
                      <c:ptCount val="10"/>
                      <c:pt idx="0">
                        <c:v>49.2</c:v>
                      </c:pt>
                      <c:pt idx="1">
                        <c:v>59.6</c:v>
                      </c:pt>
                      <c:pt idx="2">
                        <c:v>51.1</c:v>
                      </c:pt>
                      <c:pt idx="3">
                        <c:v>48.8</c:v>
                      </c:pt>
                      <c:pt idx="4">
                        <c:v>45.2</c:v>
                      </c:pt>
                      <c:pt idx="5">
                        <c:v>49.8</c:v>
                      </c:pt>
                      <c:pt idx="6">
                        <c:v>48.4</c:v>
                      </c:pt>
                      <c:pt idx="7">
                        <c:v>49.3</c:v>
                      </c:pt>
                      <c:pt idx="8">
                        <c:v>55.1</c:v>
                      </c:pt>
                      <c:pt idx="9">
                        <c:v>49.5</c:v>
                      </c:pt>
                    </c:numCache>
                  </c:numRef>
                </c:val>
                <c:extLst>
                  <c:ext xmlns:c16="http://schemas.microsoft.com/office/drawing/2014/chart" uri="{C3380CC4-5D6E-409C-BE32-E72D297353CC}">
                    <c16:uniqueId val="{00000000-F4D7-495C-87E3-8B7D9D33DB8C}"/>
                  </c:ext>
                </c:extLst>
              </c15:ser>
            </c15:filteredBarSeries>
            <c15:filteredBarSeries>
              <c15: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extLst xmlns:c15="http://schemas.microsoft.com/office/drawing/2012/chart">
                      <c:ext xmlns:c15="http://schemas.microsoft.com/office/drawing/2012/chart" uri="{02D57815-91ED-43cb-92C2-25804820EDAC}">
                        <c15:formulaRef>
                          <c15:sqref>penguins_size!$A$2:$B$11</c15:sqref>
                        </c15:formulaRef>
                      </c:ext>
                    </c:extLst>
                    <c:multiLvlStrCache>
                      <c:ptCount val="10"/>
                      <c:lvl>
                        <c:pt idx="0">
                          <c:v>Biscoe</c:v>
                        </c:pt>
                        <c:pt idx="1">
                          <c:v>Biscoe</c:v>
                        </c:pt>
                        <c:pt idx="2">
                          <c:v>Biscoe</c:v>
                        </c:pt>
                        <c:pt idx="3">
                          <c:v>Biscoe</c:v>
                        </c:pt>
                        <c:pt idx="4">
                          <c:v>Biscoe</c:v>
                        </c:pt>
                        <c:pt idx="5">
                          <c:v>Biscoe</c:v>
                        </c:pt>
                        <c:pt idx="6">
                          <c:v>Biscoe</c:v>
                        </c:pt>
                        <c:pt idx="7">
                          <c:v>Biscoe</c:v>
                        </c:pt>
                        <c:pt idx="8">
                          <c:v>Biscoe</c:v>
                        </c:pt>
                        <c:pt idx="9">
                          <c:v>Biscoe</c:v>
                        </c:pt>
                      </c:lvl>
                      <c:lvl>
                        <c:pt idx="0">
                          <c:v>Gentoo</c:v>
                        </c:pt>
                        <c:pt idx="1">
                          <c:v>Gentoo</c:v>
                        </c:pt>
                        <c:pt idx="2">
                          <c:v>Gentoo</c:v>
                        </c:pt>
                        <c:pt idx="3">
                          <c:v>Gentoo</c:v>
                        </c:pt>
                        <c:pt idx="4">
                          <c:v>Gentoo</c:v>
                        </c:pt>
                        <c:pt idx="5">
                          <c:v>Gentoo</c:v>
                        </c:pt>
                        <c:pt idx="6">
                          <c:v>Gentoo</c:v>
                        </c:pt>
                        <c:pt idx="7">
                          <c:v>Gentoo</c:v>
                        </c:pt>
                        <c:pt idx="8">
                          <c:v>Gentoo</c:v>
                        </c:pt>
                        <c:pt idx="9">
                          <c:v>Gentoo</c:v>
                        </c:pt>
                      </c:lvl>
                    </c:multiLvlStrCache>
                  </c:multiLvlStrRef>
                </c:cat>
                <c:val>
                  <c:numRef>
                    <c:extLst xmlns:c15="http://schemas.microsoft.com/office/drawing/2012/chart">
                      <c:ext xmlns:c15="http://schemas.microsoft.com/office/drawing/2012/chart" uri="{02D57815-91ED-43cb-92C2-25804820EDAC}">
                        <c15:formulaRef>
                          <c15:sqref>penguins_size!$D$2:$D$11</c15:sqref>
                        </c15:formulaRef>
                      </c:ext>
                    </c:extLst>
                    <c:numCache>
                      <c:formatCode>General</c:formatCode>
                      <c:ptCount val="10"/>
                      <c:pt idx="0">
                        <c:v>15.2</c:v>
                      </c:pt>
                      <c:pt idx="1">
                        <c:v>17</c:v>
                      </c:pt>
                      <c:pt idx="2">
                        <c:v>16.3</c:v>
                      </c:pt>
                      <c:pt idx="3">
                        <c:v>16.2</c:v>
                      </c:pt>
                      <c:pt idx="4">
                        <c:v>16.399999999999999</c:v>
                      </c:pt>
                      <c:pt idx="5">
                        <c:v>15.9</c:v>
                      </c:pt>
                      <c:pt idx="6">
                        <c:v>14.6</c:v>
                      </c:pt>
                      <c:pt idx="7">
                        <c:v>15.7</c:v>
                      </c:pt>
                      <c:pt idx="8">
                        <c:v>16</c:v>
                      </c:pt>
                      <c:pt idx="9">
                        <c:v>16.2</c:v>
                      </c:pt>
                    </c:numCache>
                  </c:numRef>
                </c:val>
                <c:extLst xmlns:c15="http://schemas.microsoft.com/office/drawing/2012/chart">
                  <c:ext xmlns:c16="http://schemas.microsoft.com/office/drawing/2014/chart" uri="{C3380CC4-5D6E-409C-BE32-E72D297353CC}">
                    <c16:uniqueId val="{00000001-F4D7-495C-87E3-8B7D9D33DB8C}"/>
                  </c:ext>
                </c:extLst>
              </c15:ser>
            </c15:filteredBarSeries>
            <c15:filteredBarSeries>
              <c15:ser>
                <c:idx val="2"/>
                <c:order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extLst xmlns:c15="http://schemas.microsoft.com/office/drawing/2012/chart">
                      <c:ext xmlns:c15="http://schemas.microsoft.com/office/drawing/2012/chart" uri="{02D57815-91ED-43cb-92C2-25804820EDAC}">
                        <c15:formulaRef>
                          <c15:sqref>penguins_size!$A$2:$B$11</c15:sqref>
                        </c15:formulaRef>
                      </c:ext>
                    </c:extLst>
                    <c:multiLvlStrCache>
                      <c:ptCount val="10"/>
                      <c:lvl>
                        <c:pt idx="0">
                          <c:v>Biscoe</c:v>
                        </c:pt>
                        <c:pt idx="1">
                          <c:v>Biscoe</c:v>
                        </c:pt>
                        <c:pt idx="2">
                          <c:v>Biscoe</c:v>
                        </c:pt>
                        <c:pt idx="3">
                          <c:v>Biscoe</c:v>
                        </c:pt>
                        <c:pt idx="4">
                          <c:v>Biscoe</c:v>
                        </c:pt>
                        <c:pt idx="5">
                          <c:v>Biscoe</c:v>
                        </c:pt>
                        <c:pt idx="6">
                          <c:v>Biscoe</c:v>
                        </c:pt>
                        <c:pt idx="7">
                          <c:v>Biscoe</c:v>
                        </c:pt>
                        <c:pt idx="8">
                          <c:v>Biscoe</c:v>
                        </c:pt>
                        <c:pt idx="9">
                          <c:v>Biscoe</c:v>
                        </c:pt>
                      </c:lvl>
                      <c:lvl>
                        <c:pt idx="0">
                          <c:v>Gentoo</c:v>
                        </c:pt>
                        <c:pt idx="1">
                          <c:v>Gentoo</c:v>
                        </c:pt>
                        <c:pt idx="2">
                          <c:v>Gentoo</c:v>
                        </c:pt>
                        <c:pt idx="3">
                          <c:v>Gentoo</c:v>
                        </c:pt>
                        <c:pt idx="4">
                          <c:v>Gentoo</c:v>
                        </c:pt>
                        <c:pt idx="5">
                          <c:v>Gentoo</c:v>
                        </c:pt>
                        <c:pt idx="6">
                          <c:v>Gentoo</c:v>
                        </c:pt>
                        <c:pt idx="7">
                          <c:v>Gentoo</c:v>
                        </c:pt>
                        <c:pt idx="8">
                          <c:v>Gentoo</c:v>
                        </c:pt>
                        <c:pt idx="9">
                          <c:v>Gentoo</c:v>
                        </c:pt>
                      </c:lvl>
                    </c:multiLvlStrCache>
                  </c:multiLvlStrRef>
                </c:cat>
                <c:val>
                  <c:numRef>
                    <c:extLst xmlns:c15="http://schemas.microsoft.com/office/drawing/2012/chart">
                      <c:ext xmlns:c15="http://schemas.microsoft.com/office/drawing/2012/chart" uri="{02D57815-91ED-43cb-92C2-25804820EDAC}">
                        <c15:formulaRef>
                          <c15:sqref>penguins_size!$E$2:$E$11</c15:sqref>
                        </c15:formulaRef>
                      </c:ext>
                    </c:extLst>
                    <c:numCache>
                      <c:formatCode>General</c:formatCode>
                      <c:ptCount val="10"/>
                      <c:pt idx="0">
                        <c:v>221</c:v>
                      </c:pt>
                      <c:pt idx="1">
                        <c:v>230</c:v>
                      </c:pt>
                      <c:pt idx="2">
                        <c:v>220</c:v>
                      </c:pt>
                      <c:pt idx="3">
                        <c:v>222</c:v>
                      </c:pt>
                      <c:pt idx="4">
                        <c:v>223</c:v>
                      </c:pt>
                      <c:pt idx="5">
                        <c:v>229</c:v>
                      </c:pt>
                      <c:pt idx="6">
                        <c:v>213</c:v>
                      </c:pt>
                      <c:pt idx="7">
                        <c:v>217</c:v>
                      </c:pt>
                      <c:pt idx="8">
                        <c:v>230</c:v>
                      </c:pt>
                      <c:pt idx="9">
                        <c:v>229</c:v>
                      </c:pt>
                    </c:numCache>
                  </c:numRef>
                </c:val>
                <c:extLst xmlns:c15="http://schemas.microsoft.com/office/drawing/2012/chart">
                  <c:ext xmlns:c16="http://schemas.microsoft.com/office/drawing/2014/chart" uri="{C3380CC4-5D6E-409C-BE32-E72D297353CC}">
                    <c16:uniqueId val="{00000002-F4D7-495C-87E3-8B7D9D33DB8C}"/>
                  </c:ext>
                </c:extLst>
              </c15:ser>
            </c15:filteredBarSeries>
          </c:ext>
        </c:extLst>
      </c:barChart>
      <c:catAx>
        <c:axId val="37228876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000" b="1">
                    <a:solidFill>
                      <a:srgbClr val="FF0000"/>
                    </a:solidFill>
                  </a:rPr>
                  <a:t>Penguins</a:t>
                </a:r>
              </a:p>
            </c:rich>
          </c:tx>
          <c:layout>
            <c:manualLayout>
              <c:xMode val="edge"/>
              <c:yMode val="edge"/>
              <c:x val="0.43276064572196032"/>
              <c:y val="0.962549189996336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289248"/>
        <c:crosses val="autoZero"/>
        <c:auto val="1"/>
        <c:lblAlgn val="ctr"/>
        <c:lblOffset val="100"/>
        <c:noMultiLvlLbl val="0"/>
      </c:catAx>
      <c:valAx>
        <c:axId val="372289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000" b="1">
                    <a:solidFill>
                      <a:srgbClr val="FF0000"/>
                    </a:solidFill>
                  </a:rPr>
                  <a:t>bdoy mass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28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[penguins_sizes.xlsx]pivot tables!PivotTable24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u="sng">
                <a:solidFill>
                  <a:schemeClr val="tx1"/>
                </a:solidFill>
              </a:rPr>
              <a:t>AVERAGE BODY MASS PER SPECIES</a:t>
            </a:r>
          </a:p>
        </c:rich>
      </c:tx>
      <c:layout>
        <c:manualLayout>
          <c:xMode val="edge"/>
          <c:yMode val="edge"/>
          <c:x val="0.17948010908704626"/>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91426071741031"/>
          <c:y val="0.2476505540974045"/>
          <c:w val="0.76112270341207344"/>
          <c:h val="0.53774387576552929"/>
        </c:manualLayout>
      </c:layout>
      <c:barChart>
        <c:barDir val="col"/>
        <c:grouping val="clustered"/>
        <c:varyColors val="0"/>
        <c:ser>
          <c:idx val="0"/>
          <c:order val="0"/>
          <c:tx>
            <c:strRef>
              <c:f>'pivot tables'!$M$173</c:f>
              <c:strCache>
                <c:ptCount val="1"/>
                <c:pt idx="0">
                  <c:v>Total</c:v>
                </c:pt>
              </c:strCache>
            </c:strRef>
          </c:tx>
          <c:spPr>
            <a:solidFill>
              <a:schemeClr val="accent2"/>
            </a:solidFill>
            <a:ln>
              <a:noFill/>
            </a:ln>
            <a:effectLst/>
          </c:spPr>
          <c:invertIfNegative val="0"/>
          <c:cat>
            <c:strRef>
              <c:f>'pivot tables'!$L$174:$L$177</c:f>
              <c:strCache>
                <c:ptCount val="3"/>
                <c:pt idx="0">
                  <c:v>Adelie</c:v>
                </c:pt>
                <c:pt idx="1">
                  <c:v>Chinstrap</c:v>
                </c:pt>
                <c:pt idx="2">
                  <c:v>Gentoo</c:v>
                </c:pt>
              </c:strCache>
            </c:strRef>
          </c:cat>
          <c:val>
            <c:numRef>
              <c:f>'pivot tables'!$M$174:$M$177</c:f>
              <c:numCache>
                <c:formatCode>General</c:formatCode>
                <c:ptCount val="3"/>
                <c:pt idx="0">
                  <c:v>3700.662251655629</c:v>
                </c:pt>
                <c:pt idx="1">
                  <c:v>3733.0882352941176</c:v>
                </c:pt>
                <c:pt idx="2">
                  <c:v>5076.0162601626016</c:v>
                </c:pt>
              </c:numCache>
            </c:numRef>
          </c:val>
          <c:extLst>
            <c:ext xmlns:c16="http://schemas.microsoft.com/office/drawing/2014/chart" uri="{C3380CC4-5D6E-409C-BE32-E72D297353CC}">
              <c16:uniqueId val="{00000000-E9B4-459A-BA77-A8009C27C9FA}"/>
            </c:ext>
          </c:extLst>
        </c:ser>
        <c:dLbls>
          <c:showLegendKey val="0"/>
          <c:showVal val="0"/>
          <c:showCatName val="0"/>
          <c:showSerName val="0"/>
          <c:showPercent val="0"/>
          <c:showBubbleSize val="0"/>
        </c:dLbls>
        <c:gapWidth val="219"/>
        <c:overlap val="-27"/>
        <c:axId val="1386515056"/>
        <c:axId val="1386517456"/>
      </c:barChart>
      <c:catAx>
        <c:axId val="1386515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SPECIES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517456"/>
        <c:crosses val="autoZero"/>
        <c:auto val="1"/>
        <c:lblAlgn val="ctr"/>
        <c:lblOffset val="100"/>
        <c:noMultiLvlLbl val="0"/>
      </c:catAx>
      <c:valAx>
        <c:axId val="1386517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AVG BODY MASS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51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[penguins_sizes.xlsx]pivot tables!PivotTable2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BODY MASS PER SPECIES</a:t>
            </a:r>
          </a:p>
        </c:rich>
      </c:tx>
      <c:layout>
        <c:manualLayout>
          <c:xMode val="edge"/>
          <c:yMode val="edge"/>
          <c:x val="0.34657407407407409"/>
          <c:y val="8.00204852442225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57138243334832"/>
          <c:y val="0.23945095986868711"/>
          <c:w val="0.71681714785651796"/>
          <c:h val="0.53774387576552929"/>
        </c:manualLayout>
      </c:layout>
      <c:barChart>
        <c:barDir val="col"/>
        <c:grouping val="clustered"/>
        <c:varyColors val="0"/>
        <c:ser>
          <c:idx val="0"/>
          <c:order val="0"/>
          <c:tx>
            <c:strRef>
              <c:f>'pivot tables'!$F$3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tables'!$E$4:$E$7</c:f>
              <c:strCache>
                <c:ptCount val="3"/>
                <c:pt idx="0">
                  <c:v>Adelie</c:v>
                </c:pt>
                <c:pt idx="1">
                  <c:v>Chinstrap</c:v>
                </c:pt>
                <c:pt idx="2">
                  <c:v>Gentoo</c:v>
                </c:pt>
              </c:strCache>
            </c:strRef>
          </c:cat>
          <c:val>
            <c:numRef>
              <c:f>'pivot tables'!$F$4:$F$7</c:f>
              <c:numCache>
                <c:formatCode>0.000</c:formatCode>
                <c:ptCount val="3"/>
                <c:pt idx="0">
                  <c:v>3700.662251655629</c:v>
                </c:pt>
                <c:pt idx="1">
                  <c:v>3733.0882352941176</c:v>
                </c:pt>
                <c:pt idx="2">
                  <c:v>5076.0162601626016</c:v>
                </c:pt>
              </c:numCache>
            </c:numRef>
          </c:val>
          <c:extLst>
            <c:ext xmlns:c16="http://schemas.microsoft.com/office/drawing/2014/chart" uri="{C3380CC4-5D6E-409C-BE32-E72D297353CC}">
              <c16:uniqueId val="{00000000-F351-4684-B922-A2463BAD3879}"/>
            </c:ext>
          </c:extLst>
        </c:ser>
        <c:dLbls>
          <c:showLegendKey val="0"/>
          <c:showVal val="0"/>
          <c:showCatName val="0"/>
          <c:showSerName val="0"/>
          <c:showPercent val="0"/>
          <c:showBubbleSize val="0"/>
        </c:dLbls>
        <c:gapWidth val="100"/>
        <c:overlap val="-24"/>
        <c:axId val="1175722207"/>
        <c:axId val="1175723167"/>
      </c:barChart>
      <c:catAx>
        <c:axId val="117572220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SPECIES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5723167"/>
        <c:crosses val="autoZero"/>
        <c:auto val="1"/>
        <c:lblAlgn val="ctr"/>
        <c:lblOffset val="100"/>
        <c:noMultiLvlLbl val="0"/>
      </c:catAx>
      <c:valAx>
        <c:axId val="117572316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Body mass_g</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5722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[penguins_sizes.xlsx]pivot tables!PivotTable5</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t>PERCENTAGE OF DATASET PER SPECIES</a:t>
            </a:r>
          </a:p>
        </c:rich>
      </c:tx>
      <c:layout>
        <c:manualLayout>
          <c:xMode val="edge"/>
          <c:yMode val="edge"/>
          <c:x val="0.21463555336832896"/>
          <c:y val="0.1192037241763117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tables'!$F$10</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08C-433A-AD46-041326D3BA3A}"/>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08C-433A-AD46-041326D3BA3A}"/>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08C-433A-AD46-041326D3BA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tables'!$E$11:$E$14</c:f>
              <c:strCache>
                <c:ptCount val="3"/>
                <c:pt idx="0">
                  <c:v>Adelie</c:v>
                </c:pt>
                <c:pt idx="1">
                  <c:v>Chinstrap</c:v>
                </c:pt>
                <c:pt idx="2">
                  <c:v>Gentoo</c:v>
                </c:pt>
              </c:strCache>
            </c:strRef>
          </c:cat>
          <c:val>
            <c:numRef>
              <c:f>'pivot tables'!$F$11:$F$14</c:f>
              <c:numCache>
                <c:formatCode>0.00%</c:formatCode>
                <c:ptCount val="3"/>
                <c:pt idx="0">
                  <c:v>0.44186046511627908</c:v>
                </c:pt>
                <c:pt idx="1">
                  <c:v>0.19767441860465115</c:v>
                </c:pt>
                <c:pt idx="2">
                  <c:v>0.36046511627906974</c:v>
                </c:pt>
              </c:numCache>
            </c:numRef>
          </c:val>
          <c:extLst>
            <c:ext xmlns:c16="http://schemas.microsoft.com/office/drawing/2014/chart" uri="{C3380CC4-5D6E-409C-BE32-E72D297353CC}">
              <c16:uniqueId val="{00000006-008C-433A-AD46-041326D3BA3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[penguins_sizes.xlsx]pivot tables!PivotTable18</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t>GENDER DISTRIBUTION PER SPECIES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tables'!$M$78:$M$79</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tables'!$L$80:$L$83</c:f>
              <c:strCache>
                <c:ptCount val="3"/>
                <c:pt idx="0">
                  <c:v>Adelie</c:v>
                </c:pt>
                <c:pt idx="1">
                  <c:v>Chinstrap</c:v>
                </c:pt>
                <c:pt idx="2">
                  <c:v>Gentoo</c:v>
                </c:pt>
              </c:strCache>
            </c:strRef>
          </c:cat>
          <c:val>
            <c:numRef>
              <c:f>'pivot tables'!$M$80:$M$83</c:f>
              <c:numCache>
                <c:formatCode>General</c:formatCode>
                <c:ptCount val="3"/>
                <c:pt idx="0">
                  <c:v>73</c:v>
                </c:pt>
                <c:pt idx="1">
                  <c:v>34</c:v>
                </c:pt>
                <c:pt idx="2">
                  <c:v>58</c:v>
                </c:pt>
              </c:numCache>
            </c:numRef>
          </c:val>
          <c:extLst>
            <c:ext xmlns:c16="http://schemas.microsoft.com/office/drawing/2014/chart" uri="{C3380CC4-5D6E-409C-BE32-E72D297353CC}">
              <c16:uniqueId val="{00000000-342E-4ABD-A85B-0625B689DEAC}"/>
            </c:ext>
          </c:extLst>
        </c:ser>
        <c:ser>
          <c:idx val="1"/>
          <c:order val="1"/>
          <c:tx>
            <c:strRef>
              <c:f>'pivot tables'!$N$78:$N$79</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tables'!$L$80:$L$83</c:f>
              <c:strCache>
                <c:ptCount val="3"/>
                <c:pt idx="0">
                  <c:v>Adelie</c:v>
                </c:pt>
                <c:pt idx="1">
                  <c:v>Chinstrap</c:v>
                </c:pt>
                <c:pt idx="2">
                  <c:v>Gentoo</c:v>
                </c:pt>
              </c:strCache>
            </c:strRef>
          </c:cat>
          <c:val>
            <c:numRef>
              <c:f>'pivot tables'!$N$80:$N$83</c:f>
              <c:numCache>
                <c:formatCode>General</c:formatCode>
                <c:ptCount val="3"/>
                <c:pt idx="0">
                  <c:v>73</c:v>
                </c:pt>
                <c:pt idx="1">
                  <c:v>34</c:v>
                </c:pt>
                <c:pt idx="2">
                  <c:v>61</c:v>
                </c:pt>
              </c:numCache>
            </c:numRef>
          </c:val>
          <c:extLst>
            <c:ext xmlns:c16="http://schemas.microsoft.com/office/drawing/2014/chart" uri="{C3380CC4-5D6E-409C-BE32-E72D297353CC}">
              <c16:uniqueId val="{00000001-A8E3-4B26-B7F4-C3058BA7D224}"/>
            </c:ext>
          </c:extLst>
        </c:ser>
        <c:ser>
          <c:idx val="2"/>
          <c:order val="2"/>
          <c:tx>
            <c:strRef>
              <c:f>'pivot tables'!$O$78:$O$79</c:f>
              <c:strCache>
                <c:ptCount val="1"/>
                <c:pt idx="0">
                  <c:v>(blank)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tables'!$L$80:$L$83</c:f>
              <c:strCache>
                <c:ptCount val="3"/>
                <c:pt idx="0">
                  <c:v>Adelie</c:v>
                </c:pt>
                <c:pt idx="1">
                  <c:v>Chinstrap</c:v>
                </c:pt>
                <c:pt idx="2">
                  <c:v>Gentoo</c:v>
                </c:pt>
              </c:strCache>
            </c:strRef>
          </c:cat>
          <c:val>
            <c:numRef>
              <c:f>'pivot tables'!$O$80:$O$83</c:f>
              <c:numCache>
                <c:formatCode>General</c:formatCode>
                <c:ptCount val="3"/>
              </c:numCache>
            </c:numRef>
          </c:val>
          <c:extLst>
            <c:ext xmlns:c16="http://schemas.microsoft.com/office/drawing/2014/chart" uri="{C3380CC4-5D6E-409C-BE32-E72D297353CC}">
              <c16:uniqueId val="{00000002-A8E3-4B26-B7F4-C3058BA7D224}"/>
            </c:ext>
          </c:extLst>
        </c:ser>
        <c:dLbls>
          <c:showLegendKey val="0"/>
          <c:showVal val="0"/>
          <c:showCatName val="0"/>
          <c:showSerName val="0"/>
          <c:showPercent val="0"/>
          <c:showBubbleSize val="0"/>
        </c:dLbls>
        <c:gapWidth val="100"/>
        <c:overlap val="-24"/>
        <c:axId val="919022816"/>
        <c:axId val="919020416"/>
      </c:barChart>
      <c:catAx>
        <c:axId val="919022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SPECIES</a:t>
                </a:r>
              </a:p>
            </c:rich>
          </c:tx>
          <c:layout>
            <c:manualLayout>
              <c:xMode val="edge"/>
              <c:yMode val="edge"/>
              <c:x val="0.39833661417322841"/>
              <c:y val="0.8426640419947506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9020416"/>
        <c:crosses val="autoZero"/>
        <c:auto val="1"/>
        <c:lblAlgn val="ctr"/>
        <c:lblOffset val="100"/>
        <c:noMultiLvlLbl val="0"/>
      </c:catAx>
      <c:valAx>
        <c:axId val="9190204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 COUNT</a:t>
                </a:r>
              </a:p>
            </c:rich>
          </c:tx>
          <c:layout>
            <c:manualLayout>
              <c:xMode val="edge"/>
              <c:yMode val="edge"/>
              <c:x val="1.9444444444444445E-2"/>
              <c:y val="0.3380016039661709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902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[penguins_sizes.xlsx]pivot tables!PivotTable16</c:name>
    <c:fmtId val="6"/>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200">
                <a:solidFill>
                  <a:schemeClr val="tx1"/>
                </a:solidFill>
              </a:rPr>
              <a:t>AVERAGE CULMEN LENGTH AND DEPTH PER SPECIES</a:t>
            </a:r>
          </a:p>
        </c:rich>
      </c:tx>
      <c:layout>
        <c:manualLayout>
          <c:xMode val="edge"/>
          <c:yMode val="edge"/>
          <c:x val="0.15781238916081436"/>
          <c:y val="0.12899579749063159"/>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111300276654606E-2"/>
          <c:y val="0.21570099980277033"/>
          <c:w val="0.90155086188550759"/>
          <c:h val="0.58014466038565993"/>
        </c:manualLayout>
      </c:layout>
      <c:lineChart>
        <c:grouping val="standard"/>
        <c:varyColors val="0"/>
        <c:ser>
          <c:idx val="0"/>
          <c:order val="0"/>
          <c:tx>
            <c:strRef>
              <c:f>'pivot tables'!$H$75</c:f>
              <c:strCache>
                <c:ptCount val="1"/>
                <c:pt idx="0">
                  <c:v>Average of culmen_length_mm</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tables'!$G$76:$G$79</c:f>
              <c:strCache>
                <c:ptCount val="3"/>
                <c:pt idx="0">
                  <c:v>Adelie</c:v>
                </c:pt>
                <c:pt idx="1">
                  <c:v>Chinstrap</c:v>
                </c:pt>
                <c:pt idx="2">
                  <c:v>Gentoo</c:v>
                </c:pt>
              </c:strCache>
            </c:strRef>
          </c:cat>
          <c:val>
            <c:numRef>
              <c:f>'pivot tables'!$H$76:$H$79</c:f>
              <c:numCache>
                <c:formatCode>General</c:formatCode>
                <c:ptCount val="3"/>
                <c:pt idx="0">
                  <c:v>38.791390728476813</c:v>
                </c:pt>
                <c:pt idx="1">
                  <c:v>48.833823529411745</c:v>
                </c:pt>
                <c:pt idx="2">
                  <c:v>47.504878048780476</c:v>
                </c:pt>
              </c:numCache>
            </c:numRef>
          </c:val>
          <c:smooth val="0"/>
          <c:extLst>
            <c:ext xmlns:c16="http://schemas.microsoft.com/office/drawing/2014/chart" uri="{C3380CC4-5D6E-409C-BE32-E72D297353CC}">
              <c16:uniqueId val="{00000000-C17B-49B0-BAEB-C0E7D02E736D}"/>
            </c:ext>
          </c:extLst>
        </c:ser>
        <c:ser>
          <c:idx val="1"/>
          <c:order val="1"/>
          <c:tx>
            <c:strRef>
              <c:f>'pivot tables'!$I$75</c:f>
              <c:strCache>
                <c:ptCount val="1"/>
                <c:pt idx="0">
                  <c:v>Average of culmen_depth_mm</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tables'!$G$76:$G$79</c:f>
              <c:strCache>
                <c:ptCount val="3"/>
                <c:pt idx="0">
                  <c:v>Adelie</c:v>
                </c:pt>
                <c:pt idx="1">
                  <c:v>Chinstrap</c:v>
                </c:pt>
                <c:pt idx="2">
                  <c:v>Gentoo</c:v>
                </c:pt>
              </c:strCache>
            </c:strRef>
          </c:cat>
          <c:val>
            <c:numRef>
              <c:f>'pivot tables'!$I$76:$I$79</c:f>
              <c:numCache>
                <c:formatCode>General</c:formatCode>
                <c:ptCount val="3"/>
                <c:pt idx="0">
                  <c:v>18.346357615894036</c:v>
                </c:pt>
                <c:pt idx="1">
                  <c:v>18.420588235294112</c:v>
                </c:pt>
                <c:pt idx="2">
                  <c:v>14.982113821138215</c:v>
                </c:pt>
              </c:numCache>
            </c:numRef>
          </c:val>
          <c:smooth val="0"/>
          <c:extLst>
            <c:ext xmlns:c16="http://schemas.microsoft.com/office/drawing/2014/chart" uri="{C3380CC4-5D6E-409C-BE32-E72D297353CC}">
              <c16:uniqueId val="{00000001-C17B-49B0-BAEB-C0E7D02E736D}"/>
            </c:ext>
          </c:extLst>
        </c:ser>
        <c:dLbls>
          <c:showLegendKey val="0"/>
          <c:showVal val="0"/>
          <c:showCatName val="0"/>
          <c:showSerName val="0"/>
          <c:showPercent val="0"/>
          <c:showBubbleSize val="0"/>
        </c:dLbls>
        <c:marker val="1"/>
        <c:smooth val="0"/>
        <c:axId val="1337853151"/>
        <c:axId val="1337853631"/>
      </c:lineChart>
      <c:catAx>
        <c:axId val="1337853151"/>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37853631"/>
        <c:crosses val="autoZero"/>
        <c:auto val="1"/>
        <c:lblAlgn val="ctr"/>
        <c:lblOffset val="100"/>
        <c:noMultiLvlLbl val="0"/>
      </c:catAx>
      <c:valAx>
        <c:axId val="1337853631"/>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37853151"/>
        <c:crosses val="autoZero"/>
        <c:crossBetween val="between"/>
      </c:valAx>
      <c:spPr>
        <a:pattFill prst="ltDnDiag">
          <a:fgClr>
            <a:schemeClr val="dk1">
              <a:lumMod val="15000"/>
              <a:lumOff val="85000"/>
            </a:schemeClr>
          </a:fgClr>
          <a:bgClr>
            <a:schemeClr val="lt1"/>
          </a:bgClr>
        </a:pattFill>
        <a:ln>
          <a:noFill/>
        </a:ln>
        <a:effectLst/>
      </c:spPr>
    </c:plotArea>
    <c:legend>
      <c:legendPos val="b"/>
      <c:layout>
        <c:manualLayout>
          <c:xMode val="edge"/>
          <c:yMode val="edge"/>
          <c:x val="0.15416343567633675"/>
          <c:y val="0.86965016434605502"/>
          <c:w val="0.84369369369369385"/>
          <c:h val="5.01187170967790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[penguins_sizes.xlsx]pivot tables!PivotTable29</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PERCENTAGE</a:t>
            </a:r>
            <a:r>
              <a:rPr lang="en-US" sz="1100" baseline="0"/>
              <a:t> OF SPECIES PER ISLAND</a:t>
            </a:r>
            <a:endParaRPr lang="en-US" sz="11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tables'!$J$121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5D9-4CA3-8C52-2AFC0D00190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5D9-4CA3-8C52-2AFC0D00190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5D9-4CA3-8C52-2AFC0D0019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tables'!$I$122:$I$125</c:f>
              <c:strCache>
                <c:ptCount val="3"/>
                <c:pt idx="0">
                  <c:v>Biscoe</c:v>
                </c:pt>
                <c:pt idx="1">
                  <c:v>Dream</c:v>
                </c:pt>
                <c:pt idx="2">
                  <c:v>Torgersen</c:v>
                </c:pt>
              </c:strCache>
            </c:strRef>
          </c:cat>
          <c:val>
            <c:numRef>
              <c:f>'pivot tables'!$J$122:$J$125</c:f>
              <c:numCache>
                <c:formatCode>0.00%</c:formatCode>
                <c:ptCount val="3"/>
                <c:pt idx="0">
                  <c:v>0.48837209302325579</c:v>
                </c:pt>
                <c:pt idx="1">
                  <c:v>0.36046511627906974</c:v>
                </c:pt>
                <c:pt idx="2">
                  <c:v>0.15116279069767441</c:v>
                </c:pt>
              </c:numCache>
            </c:numRef>
          </c:val>
          <c:extLst>
            <c:ext xmlns:c16="http://schemas.microsoft.com/office/drawing/2014/chart" uri="{C3380CC4-5D6E-409C-BE32-E72D297353CC}">
              <c16:uniqueId val="{00000006-15D9-4CA3-8C52-2AFC0D00190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[penguins_sizes.xlsx]pivot tables!PivotTable22</c:name>
    <c:fmtId val="25"/>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b="1">
                <a:solidFill>
                  <a:schemeClr val="tx1"/>
                </a:solidFill>
              </a:rPr>
              <a:t>AVG FLIPPER LENGTH PER ISLAND</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8705161854769E-2"/>
          <c:y val="0.24217373869932926"/>
          <c:w val="0.89019685039370078"/>
          <c:h val="0.64218832020997374"/>
        </c:manualLayout>
      </c:layout>
      <c:barChart>
        <c:barDir val="col"/>
        <c:grouping val="clustered"/>
        <c:varyColors val="0"/>
        <c:ser>
          <c:idx val="0"/>
          <c:order val="0"/>
          <c:tx>
            <c:strRef>
              <c:f>'pivot tables'!$M$56</c:f>
              <c:strCache>
                <c:ptCount val="1"/>
                <c:pt idx="0">
                  <c:v>Total</c:v>
                </c:pt>
              </c:strCache>
            </c:strRef>
          </c:tx>
          <c:spPr>
            <a:solidFill>
              <a:schemeClr val="accent1"/>
            </a:solidFill>
            <a:ln>
              <a:noFill/>
            </a:ln>
            <a:effectLst/>
          </c:spPr>
          <c:invertIfNegative val="0"/>
          <c:cat>
            <c:strRef>
              <c:f>'pivot tables'!$L$57:$L$60</c:f>
              <c:strCache>
                <c:ptCount val="3"/>
                <c:pt idx="0">
                  <c:v>Biscoe</c:v>
                </c:pt>
                <c:pt idx="1">
                  <c:v>Dream</c:v>
                </c:pt>
                <c:pt idx="2">
                  <c:v>Torgersen</c:v>
                </c:pt>
              </c:strCache>
            </c:strRef>
          </c:cat>
          <c:val>
            <c:numRef>
              <c:f>'pivot tables'!$M$57:$M$60</c:f>
              <c:numCache>
                <c:formatCode>General</c:formatCode>
                <c:ptCount val="3"/>
                <c:pt idx="0">
                  <c:v>209.70658682634732</c:v>
                </c:pt>
                <c:pt idx="1">
                  <c:v>193.07258064516128</c:v>
                </c:pt>
                <c:pt idx="2">
                  <c:v>191.19607843137254</c:v>
                </c:pt>
              </c:numCache>
            </c:numRef>
          </c:val>
          <c:extLst>
            <c:ext xmlns:c16="http://schemas.microsoft.com/office/drawing/2014/chart" uri="{C3380CC4-5D6E-409C-BE32-E72D297353CC}">
              <c16:uniqueId val="{00000000-A8F2-4CC3-B012-A709B158BC12}"/>
            </c:ext>
          </c:extLst>
        </c:ser>
        <c:dLbls>
          <c:showLegendKey val="0"/>
          <c:showVal val="0"/>
          <c:showCatName val="0"/>
          <c:showSerName val="0"/>
          <c:showPercent val="0"/>
          <c:showBubbleSize val="0"/>
        </c:dLbls>
        <c:gapWidth val="267"/>
        <c:overlap val="-43"/>
        <c:axId val="1371034031"/>
        <c:axId val="1371030191"/>
      </c:barChart>
      <c:catAx>
        <c:axId val="137103403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71030191"/>
        <c:crosses val="autoZero"/>
        <c:auto val="1"/>
        <c:lblAlgn val="ctr"/>
        <c:lblOffset val="100"/>
        <c:noMultiLvlLbl val="0"/>
      </c:catAx>
      <c:valAx>
        <c:axId val="137103019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71034031"/>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dLbls>
          <c:showLegendKey val="0"/>
          <c:showVal val="0"/>
          <c:showCatName val="0"/>
          <c:showSerName val="0"/>
          <c:showPercent val="0"/>
          <c:showBubbleSize val="0"/>
        </c:dLbls>
        <c:axId val="1367054847"/>
        <c:axId val="1367060607"/>
      </c:scatterChart>
      <c:valAx>
        <c:axId val="136705484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67060607"/>
        <c:crosses val="autoZero"/>
        <c:crossBetween val="midCat"/>
      </c:valAx>
      <c:valAx>
        <c:axId val="136706060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67054847"/>
        <c:crosses val="autoZero"/>
        <c:crossBetween val="midCat"/>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AN HISTOGRAM SHOWING BODY MASS DISTRIBUTION</cx:v>
        </cx:txData>
      </cx:tx>
      <cx:txPr>
        <a:bodyPr spcFirstLastPara="1" vertOverflow="ellipsis" horzOverflow="overflow" wrap="square" lIns="0" tIns="0" rIns="0" bIns="0" anchor="ctr" anchorCtr="1"/>
        <a:lstStyle/>
        <a:p>
          <a:pPr algn="ctr" rtl="0">
            <a:defRPr/>
          </a:pPr>
          <a:r>
            <a:rPr lang="en-US" sz="1200" b="0" i="0" u="none" strike="noStrike" baseline="0">
              <a:solidFill>
                <a:schemeClr val="tx1"/>
              </a:solidFill>
              <a:latin typeface="Calibri" panose="020F0502020204030204"/>
            </a:rPr>
            <a:t>AN HISTOGRAM SHOWING BODY MASS DISTRIBUTION</a:t>
          </a:r>
        </a:p>
      </cx:txPr>
    </cx:title>
    <cx:plotArea>
      <cx:plotAreaRegion>
        <cx:series layoutId="clusteredColumn" uniqueId="{5EF9B954-F0BA-4C1F-AE4E-94239E4726B1}">
          <cx:tx>
            <cx:txData>
              <cx:f>_xlchart.v1.0</cx:f>
              <cx:v>body_mass_g</cx:v>
            </cx:txData>
          </cx:tx>
          <cx:dataId val="0"/>
          <cx:layoutPr>
            <cx:binning intervalClosed="r"/>
          </cx:layoutPr>
          <cx:axisId val="1"/>
        </cx:series>
        <cx:series layoutId="paretoLine" ownerIdx="0" uniqueId="{D9F23E83-B7D0-4B94-9B92-DDEEA3085957}">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4.xml><?xml version="1.0" encoding="utf-8"?>
<cs:chartStyle xmlns:cs="http://schemas.microsoft.com/office/drawing/2012/chartStyle" xmlns:a="http://schemas.openxmlformats.org/drawingml/2006/main" id="250">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tx1"/>
    </cs:fontRef>
    <cs:spPr>
      <a:ln w="9525" cap="rnd">
        <a:solidFill>
          <a:schemeClr val="phClr">
            <a:alpha val="50000"/>
          </a:scheme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15000"/>
            <a:lumOff val="8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10</xdr:col>
      <xdr:colOff>2114550</xdr:colOff>
      <xdr:row>36</xdr:row>
      <xdr:rowOff>53340</xdr:rowOff>
    </xdr:from>
    <xdr:to>
      <xdr:col>26</xdr:col>
      <xdr:colOff>167640</xdr:colOff>
      <xdr:row>53</xdr:row>
      <xdr:rowOff>91440</xdr:rowOff>
    </xdr:to>
    <xdr:graphicFrame macro="">
      <xdr:nvGraphicFramePr>
        <xdr:cNvPr id="2" name="Chart 1">
          <a:extLst>
            <a:ext uri="{FF2B5EF4-FFF2-40B4-BE49-F238E27FC236}">
              <a16:creationId xmlns:a16="http://schemas.microsoft.com/office/drawing/2014/main" id="{B99BD9F8-708E-0F63-1277-EF351E4EB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11430</xdr:colOff>
      <xdr:row>60</xdr:row>
      <xdr:rowOff>34290</xdr:rowOff>
    </xdr:from>
    <xdr:to>
      <xdr:col>20</xdr:col>
      <xdr:colOff>45720</xdr:colOff>
      <xdr:row>75</xdr:row>
      <xdr:rowOff>34290</xdr:rowOff>
    </xdr:to>
    <xdr:graphicFrame macro="">
      <xdr:nvGraphicFramePr>
        <xdr:cNvPr id="3" name="Chart 2">
          <a:extLst>
            <a:ext uri="{FF2B5EF4-FFF2-40B4-BE49-F238E27FC236}">
              <a16:creationId xmlns:a16="http://schemas.microsoft.com/office/drawing/2014/main" id="{C7B408FA-62E5-2AB9-81B2-4B85496A6B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101600</xdr:colOff>
      <xdr:row>83</xdr:row>
      <xdr:rowOff>50802</xdr:rowOff>
    </xdr:from>
    <xdr:to>
      <xdr:col>18</xdr:col>
      <xdr:colOff>173566</xdr:colOff>
      <xdr:row>98</xdr:row>
      <xdr:rowOff>2</xdr:rowOff>
    </xdr:to>
    <xdr:graphicFrame macro="">
      <xdr:nvGraphicFramePr>
        <xdr:cNvPr id="4" name="Chart 3">
          <a:extLst>
            <a:ext uri="{FF2B5EF4-FFF2-40B4-BE49-F238E27FC236}">
              <a16:creationId xmlns:a16="http://schemas.microsoft.com/office/drawing/2014/main" id="{1B6E41E3-8E3C-9467-4597-809642072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21165</xdr:colOff>
      <xdr:row>100</xdr:row>
      <xdr:rowOff>16933</xdr:rowOff>
    </xdr:from>
    <xdr:to>
      <xdr:col>21</xdr:col>
      <xdr:colOff>321733</xdr:colOff>
      <xdr:row>117</xdr:row>
      <xdr:rowOff>169333</xdr:rowOff>
    </xdr:to>
    <xdr:graphicFrame macro="">
      <xdr:nvGraphicFramePr>
        <xdr:cNvPr id="5" name="Chart 4">
          <a:extLst>
            <a:ext uri="{FF2B5EF4-FFF2-40B4-BE49-F238E27FC236}">
              <a16:creationId xmlns:a16="http://schemas.microsoft.com/office/drawing/2014/main" id="{E10D3AED-AC60-1DF2-0374-E8D7450E45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25400</xdr:colOff>
      <xdr:row>125</xdr:row>
      <xdr:rowOff>42333</xdr:rowOff>
    </xdr:from>
    <xdr:to>
      <xdr:col>17</xdr:col>
      <xdr:colOff>304800</xdr:colOff>
      <xdr:row>139</xdr:row>
      <xdr:rowOff>177799</xdr:rowOff>
    </xdr:to>
    <xdr:graphicFrame macro="">
      <xdr:nvGraphicFramePr>
        <xdr:cNvPr id="9" name="Chart 8">
          <a:extLst>
            <a:ext uri="{FF2B5EF4-FFF2-40B4-BE49-F238E27FC236}">
              <a16:creationId xmlns:a16="http://schemas.microsoft.com/office/drawing/2014/main" id="{0C450AC7-51DF-2916-94EB-5E094CF529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1803400</xdr:colOff>
      <xdr:row>141</xdr:row>
      <xdr:rowOff>177799</xdr:rowOff>
    </xdr:from>
    <xdr:to>
      <xdr:col>24</xdr:col>
      <xdr:colOff>228600</xdr:colOff>
      <xdr:row>169</xdr:row>
      <xdr:rowOff>127000</xdr:rowOff>
    </xdr:to>
    <xdr:graphicFrame macro="">
      <xdr:nvGraphicFramePr>
        <xdr:cNvPr id="11" name="Chart 10">
          <a:extLst>
            <a:ext uri="{FF2B5EF4-FFF2-40B4-BE49-F238E27FC236}">
              <a16:creationId xmlns:a16="http://schemas.microsoft.com/office/drawing/2014/main" id="{CFACFB88-10F8-EFD4-C459-D24B15D5A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19050</xdr:colOff>
      <xdr:row>177</xdr:row>
      <xdr:rowOff>42863</xdr:rowOff>
    </xdr:from>
    <xdr:to>
      <xdr:col>15</xdr:col>
      <xdr:colOff>409576</xdr:colOff>
      <xdr:row>192</xdr:row>
      <xdr:rowOff>71438</xdr:rowOff>
    </xdr:to>
    <xdr:graphicFrame macro="">
      <xdr:nvGraphicFramePr>
        <xdr:cNvPr id="6" name="Chart 5">
          <a:extLst>
            <a:ext uri="{FF2B5EF4-FFF2-40B4-BE49-F238E27FC236}">
              <a16:creationId xmlns:a16="http://schemas.microsoft.com/office/drawing/2014/main" id="{54FA5F5F-A1EC-DFDE-9DF4-06C70AF974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483870</xdr:colOff>
      <xdr:row>177</xdr:row>
      <xdr:rowOff>146685</xdr:rowOff>
    </xdr:from>
    <xdr:to>
      <xdr:col>20</xdr:col>
      <xdr:colOff>177165</xdr:colOff>
      <xdr:row>184</xdr:row>
      <xdr:rowOff>160020</xdr:rowOff>
    </xdr:to>
    <mc:AlternateContent xmlns:mc="http://schemas.openxmlformats.org/markup-compatibility/2006" xmlns:a14="http://schemas.microsoft.com/office/drawing/2010/main">
      <mc:Choice Requires="a14">
        <xdr:graphicFrame macro="">
          <xdr:nvGraphicFramePr>
            <xdr:cNvPr id="10" name="island">
              <a:extLst>
                <a:ext uri="{FF2B5EF4-FFF2-40B4-BE49-F238E27FC236}">
                  <a16:creationId xmlns:a16="http://schemas.microsoft.com/office/drawing/2014/main" id="{15CEA7F0-CB4F-C168-7F1A-3A123B76B1E6}"/>
                </a:ext>
              </a:extLst>
            </xdr:cNvPr>
            <xdr:cNvGraphicFramePr/>
          </xdr:nvGraphicFramePr>
          <xdr:xfrm>
            <a:off x="0" y="0"/>
            <a:ext cx="0" cy="0"/>
          </xdr:xfrm>
          <a:graphic>
            <a:graphicData uri="http://schemas.microsoft.com/office/drawing/2010/slicer">
              <sle:slicer xmlns:sle="http://schemas.microsoft.com/office/drawing/2010/slicer" name="island"/>
            </a:graphicData>
          </a:graphic>
        </xdr:graphicFrame>
      </mc:Choice>
      <mc:Fallback xmlns="">
        <xdr:sp macro="" textlink="">
          <xdr:nvSpPr>
            <xdr:cNvPr id="0" name=""/>
            <xdr:cNvSpPr>
              <a:spLocks noTextEdit="1"/>
            </xdr:cNvSpPr>
          </xdr:nvSpPr>
          <xdr:spPr>
            <a:xfrm>
              <a:off x="16781145" y="32179260"/>
              <a:ext cx="181737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13</xdr:row>
      <xdr:rowOff>48260</xdr:rowOff>
    </xdr:from>
    <xdr:to>
      <xdr:col>2</xdr:col>
      <xdr:colOff>703580</xdr:colOff>
      <xdr:row>28</xdr:row>
      <xdr:rowOff>63500</xdr:rowOff>
    </xdr:to>
    <xdr:graphicFrame macro="">
      <xdr:nvGraphicFramePr>
        <xdr:cNvPr id="3" name="Chart 2">
          <a:extLst>
            <a:ext uri="{FF2B5EF4-FFF2-40B4-BE49-F238E27FC236}">
              <a16:creationId xmlns:a16="http://schemas.microsoft.com/office/drawing/2014/main" id="{4BE94D61-8252-497A-9AFF-AFBDB8A15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1612900</xdr:colOff>
      <xdr:row>13</xdr:row>
      <xdr:rowOff>91441</xdr:rowOff>
    </xdr:from>
    <xdr:to>
      <xdr:col>6</xdr:col>
      <xdr:colOff>18143</xdr:colOff>
      <xdr:row>27</xdr:row>
      <xdr:rowOff>165101</xdr:rowOff>
    </xdr:to>
    <xdr:graphicFrame macro="">
      <xdr:nvGraphicFramePr>
        <xdr:cNvPr id="7" name="Chart 6">
          <a:extLst>
            <a:ext uri="{FF2B5EF4-FFF2-40B4-BE49-F238E27FC236}">
              <a16:creationId xmlns:a16="http://schemas.microsoft.com/office/drawing/2014/main" id="{CF2F062F-BF97-4A63-9A7B-70AEA140C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416560</xdr:colOff>
      <xdr:row>6</xdr:row>
      <xdr:rowOff>1</xdr:rowOff>
    </xdr:from>
    <xdr:to>
      <xdr:col>3</xdr:col>
      <xdr:colOff>1986280</xdr:colOff>
      <xdr:row>12</xdr:row>
      <xdr:rowOff>167641</xdr:rowOff>
    </xdr:to>
    <mc:AlternateContent xmlns:mc="http://schemas.openxmlformats.org/markup-compatibility/2006" xmlns:a14="http://schemas.microsoft.com/office/drawing/2010/main">
      <mc:Choice Requires="a14">
        <xdr:graphicFrame macro="">
          <xdr:nvGraphicFramePr>
            <xdr:cNvPr id="9" name="sex 1">
              <a:extLst>
                <a:ext uri="{FF2B5EF4-FFF2-40B4-BE49-F238E27FC236}">
                  <a16:creationId xmlns:a16="http://schemas.microsoft.com/office/drawing/2014/main" id="{C4FFC5BE-87E3-4572-A871-5CF1A635DEEA}"/>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6347460" y="1219201"/>
              <a:ext cx="1569720" cy="1272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546100</xdr:colOff>
      <xdr:row>6</xdr:row>
      <xdr:rowOff>63500</xdr:rowOff>
    </xdr:from>
    <xdr:to>
      <xdr:col>4</xdr:col>
      <xdr:colOff>2032000</xdr:colOff>
      <xdr:row>13</xdr:row>
      <xdr:rowOff>15239</xdr:rowOff>
    </xdr:to>
    <mc:AlternateContent xmlns:mc="http://schemas.openxmlformats.org/markup-compatibility/2006" xmlns:a14="http://schemas.microsoft.com/office/drawing/2010/main">
      <mc:Choice Requires="a14">
        <xdr:graphicFrame macro="">
          <xdr:nvGraphicFramePr>
            <xdr:cNvPr id="10" name="island 2">
              <a:extLst>
                <a:ext uri="{FF2B5EF4-FFF2-40B4-BE49-F238E27FC236}">
                  <a16:creationId xmlns:a16="http://schemas.microsoft.com/office/drawing/2014/main" id="{0A003E4A-48E1-4FE2-8E8F-4FF831896827}"/>
                </a:ext>
              </a:extLst>
            </xdr:cNvPr>
            <xdr:cNvGraphicFramePr/>
          </xdr:nvGraphicFramePr>
          <xdr:xfrm>
            <a:off x="0" y="0"/>
            <a:ext cx="0" cy="0"/>
          </xdr:xfrm>
          <a:graphic>
            <a:graphicData uri="http://schemas.microsoft.com/office/drawing/2010/slicer">
              <sle:slicer xmlns:sle="http://schemas.microsoft.com/office/drawing/2010/slicer" name="island 2"/>
            </a:graphicData>
          </a:graphic>
        </xdr:graphicFrame>
      </mc:Choice>
      <mc:Fallback xmlns="">
        <xdr:sp macro="" textlink="">
          <xdr:nvSpPr>
            <xdr:cNvPr id="0" name=""/>
            <xdr:cNvSpPr>
              <a:spLocks noTextEdit="1"/>
            </xdr:cNvSpPr>
          </xdr:nvSpPr>
          <xdr:spPr>
            <a:xfrm>
              <a:off x="8801100" y="1282700"/>
              <a:ext cx="1485900" cy="1234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876300</xdr:colOff>
      <xdr:row>6</xdr:row>
      <xdr:rowOff>88901</xdr:rowOff>
    </xdr:from>
    <xdr:to>
      <xdr:col>6</xdr:col>
      <xdr:colOff>2540</xdr:colOff>
      <xdr:row>12</xdr:row>
      <xdr:rowOff>167640</xdr:rowOff>
    </xdr:to>
    <mc:AlternateContent xmlns:mc="http://schemas.openxmlformats.org/markup-compatibility/2006" xmlns:a14="http://schemas.microsoft.com/office/drawing/2010/main">
      <mc:Choice Requires="a14">
        <xdr:graphicFrame macro="">
          <xdr:nvGraphicFramePr>
            <xdr:cNvPr id="11" name="species 1">
              <a:extLst>
                <a:ext uri="{FF2B5EF4-FFF2-40B4-BE49-F238E27FC236}">
                  <a16:creationId xmlns:a16="http://schemas.microsoft.com/office/drawing/2014/main" id="{04F03551-1E2D-46A0-8207-9348C93DFC51}"/>
                </a:ext>
              </a:extLst>
            </xdr:cNvPr>
            <xdr:cNvGraphicFramePr/>
          </xdr:nvGraphicFramePr>
          <xdr:xfrm>
            <a:off x="0" y="0"/>
            <a:ext cx="0" cy="0"/>
          </xdr:xfrm>
          <a:graphic>
            <a:graphicData uri="http://schemas.microsoft.com/office/drawing/2010/slicer">
              <sle:slicer xmlns:sle="http://schemas.microsoft.com/office/drawing/2010/slicer" name="species 1"/>
            </a:graphicData>
          </a:graphic>
        </xdr:graphicFrame>
      </mc:Choice>
      <mc:Fallback xmlns="">
        <xdr:sp macro="" textlink="">
          <xdr:nvSpPr>
            <xdr:cNvPr id="0" name=""/>
            <xdr:cNvSpPr>
              <a:spLocks noTextEdit="1"/>
            </xdr:cNvSpPr>
          </xdr:nvSpPr>
          <xdr:spPr>
            <a:xfrm>
              <a:off x="11633200" y="1308101"/>
              <a:ext cx="1653540" cy="1183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xdr:colOff>
      <xdr:row>29</xdr:row>
      <xdr:rowOff>25401</xdr:rowOff>
    </xdr:from>
    <xdr:to>
      <xdr:col>2</xdr:col>
      <xdr:colOff>797560</xdr:colOff>
      <xdr:row>44</xdr:row>
      <xdr:rowOff>25400</xdr:rowOff>
    </xdr:to>
    <xdr:graphicFrame macro="">
      <xdr:nvGraphicFramePr>
        <xdr:cNvPr id="6" name="Chart 5">
          <a:extLst>
            <a:ext uri="{FF2B5EF4-FFF2-40B4-BE49-F238E27FC236}">
              <a16:creationId xmlns:a16="http://schemas.microsoft.com/office/drawing/2014/main" id="{4C19E181-4E2E-46F3-9619-D1C72E2D5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1066800</xdr:colOff>
      <xdr:row>28</xdr:row>
      <xdr:rowOff>175985</xdr:rowOff>
    </xdr:from>
    <xdr:to>
      <xdr:col>4</xdr:col>
      <xdr:colOff>1021080</xdr:colOff>
      <xdr:row>44</xdr:row>
      <xdr:rowOff>9071</xdr:rowOff>
    </xdr:to>
    <xdr:graphicFrame macro="">
      <xdr:nvGraphicFramePr>
        <xdr:cNvPr id="12" name="Chart 11">
          <a:extLst>
            <a:ext uri="{FF2B5EF4-FFF2-40B4-BE49-F238E27FC236}">
              <a16:creationId xmlns:a16="http://schemas.microsoft.com/office/drawing/2014/main" id="{31468118-91C1-4705-89BA-12B3FAA61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1632859</xdr:colOff>
      <xdr:row>29</xdr:row>
      <xdr:rowOff>10887</xdr:rowOff>
    </xdr:from>
    <xdr:to>
      <xdr:col>6</xdr:col>
      <xdr:colOff>21773</xdr:colOff>
      <xdr:row>44</xdr:row>
      <xdr:rowOff>21772</xdr:rowOff>
    </xdr:to>
    <xdr:graphicFrame macro="">
      <xdr:nvGraphicFramePr>
        <xdr:cNvPr id="14" name="Chart 13">
          <a:extLst>
            <a:ext uri="{FF2B5EF4-FFF2-40B4-BE49-F238E27FC236}">
              <a16:creationId xmlns:a16="http://schemas.microsoft.com/office/drawing/2014/main" id="{031FACD4-C5DF-4396-A328-25CBA41F7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1028701</xdr:colOff>
      <xdr:row>13</xdr:row>
      <xdr:rowOff>61686</xdr:rowOff>
    </xdr:from>
    <xdr:to>
      <xdr:col>4</xdr:col>
      <xdr:colOff>1039587</xdr:colOff>
      <xdr:row>28</xdr:row>
      <xdr:rowOff>50800</xdr:rowOff>
    </xdr:to>
    <xdr:graphicFrame macro="">
      <xdr:nvGraphicFramePr>
        <xdr:cNvPr id="17" name="Chart 16">
          <a:extLst>
            <a:ext uri="{FF2B5EF4-FFF2-40B4-BE49-F238E27FC236}">
              <a16:creationId xmlns:a16="http://schemas.microsoft.com/office/drawing/2014/main" id="{E3F98952-439E-490C-AD9B-36423522F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18</xdr:col>
      <xdr:colOff>314325</xdr:colOff>
      <xdr:row>57</xdr:row>
      <xdr:rowOff>38100</xdr:rowOff>
    </xdr:from>
    <xdr:to>
      <xdr:col>19</xdr:col>
      <xdr:colOff>381000</xdr:colOff>
      <xdr:row>57</xdr:row>
      <xdr:rowOff>152408</xdr:rowOff>
    </xdr:to>
    <xdr:graphicFrame macro="">
      <xdr:nvGraphicFramePr>
        <xdr:cNvPr id="2" name="Chart 1">
          <a:extLst>
            <a:ext uri="{FF2B5EF4-FFF2-40B4-BE49-F238E27FC236}">
              <a16:creationId xmlns:a16="http://schemas.microsoft.com/office/drawing/2014/main" id="{CEA3FCD4-5FC9-DDFC-B41D-80D083CED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217714</xdr:colOff>
      <xdr:row>42</xdr:row>
      <xdr:rowOff>10886</xdr:rowOff>
    </xdr:from>
    <xdr:to>
      <xdr:col>28</xdr:col>
      <xdr:colOff>0</xdr:colOff>
      <xdr:row>55</xdr:row>
      <xdr:rowOff>114299</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85115F4F-B9F1-99F4-A28B-8F75B6B297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1858514" y="7691846"/>
              <a:ext cx="4323806" cy="248085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88.050085995368" createdVersion="8" refreshedVersion="8" minRefreshableVersion="3" recordCount="344" xr:uid="{7433A9E8-FE18-4F6A-AD24-6C071C3C8283}">
  <cacheSource type="worksheet">
    <worksheetSource name="Table2"/>
  </cacheSource>
  <cacheFields count="8">
    <cacheField name="species" numFmtId="0">
      <sharedItems count="3">
        <s v="Gentoo"/>
        <s v="Chinstrap"/>
        <s v="Adelie"/>
      </sharedItems>
    </cacheField>
    <cacheField name="island" numFmtId="0">
      <sharedItems count="3">
        <s v="Biscoe"/>
        <s v="Dream"/>
        <s v="Torgersen"/>
      </sharedItems>
    </cacheField>
    <cacheField name="culmen_length_mm" numFmtId="0">
      <sharedItems containsString="0" containsBlank="1" containsNumber="1" minValue="32.1" maxValue="59.6"/>
    </cacheField>
    <cacheField name="culmen_depth_mm" numFmtId="0">
      <sharedItems containsString="0" containsBlank="1" containsNumber="1" minValue="13.1" maxValue="21.5"/>
    </cacheField>
    <cacheField name="flipper_length_mm" numFmtId="0">
      <sharedItems containsString="0" containsBlank="1" containsNumber="1" containsInteger="1" minValue="172" maxValue="231"/>
    </cacheField>
    <cacheField name="body_mass_g" numFmtId="0">
      <sharedItems containsString="0" containsBlank="1" containsNumber="1" containsInteger="1" minValue="2700" maxValue="6300" count="95">
        <n v="6300"/>
        <n v="6050"/>
        <n v="6000"/>
        <n v="5950"/>
        <n v="5850"/>
        <n v="5800"/>
        <n v="5750"/>
        <n v="5700"/>
        <n v="5650"/>
        <n v="5600"/>
        <n v="5550"/>
        <n v="5500"/>
        <n v="5450"/>
        <n v="5400"/>
        <n v="5350"/>
        <n v="5300"/>
        <n v="5250"/>
        <n v="5200"/>
        <n v="5150"/>
        <n v="5100"/>
        <n v="5050"/>
        <n v="5000"/>
        <n v="4975"/>
        <n v="4950"/>
        <n v="4925"/>
        <n v="4900"/>
        <n v="4875"/>
        <n v="4850"/>
        <n v="4800"/>
        <n v="4775"/>
        <n v="4750"/>
        <n v="4725"/>
        <n v="4700"/>
        <n v="4675"/>
        <n v="4650"/>
        <n v="4625"/>
        <n v="4600"/>
        <n v="4575"/>
        <n v="4550"/>
        <n v="4500"/>
        <n v="4475"/>
        <n v="4450"/>
        <n v="4400"/>
        <n v="4375"/>
        <n v="4350"/>
        <n v="4300"/>
        <n v="4275"/>
        <n v="4250"/>
        <n v="4200"/>
        <n v="4150"/>
        <n v="4100"/>
        <n v="4075"/>
        <n v="4050"/>
        <n v="4000"/>
        <n v="3975"/>
        <n v="3950"/>
        <n v="3900"/>
        <n v="3875"/>
        <n v="3850"/>
        <n v="3825"/>
        <n v="3800"/>
        <n v="3775"/>
        <n v="3750"/>
        <n v="3725"/>
        <n v="3700"/>
        <n v="3675"/>
        <n v="3650"/>
        <n v="3625"/>
        <n v="3600"/>
        <n v="3575"/>
        <n v="3550"/>
        <n v="3525"/>
        <n v="3500"/>
        <n v="3475"/>
        <n v="3450"/>
        <n v="3425"/>
        <n v="3400"/>
        <n v="3350"/>
        <n v="3325"/>
        <n v="3300"/>
        <n v="3275"/>
        <n v="3250"/>
        <n v="3200"/>
        <n v="3175"/>
        <n v="3150"/>
        <n v="3100"/>
        <n v="3075"/>
        <n v="3050"/>
        <n v="3000"/>
        <n v="2975"/>
        <n v="2925"/>
        <n v="2900"/>
        <n v="2850"/>
        <n v="2700"/>
        <m/>
      </sharedItems>
    </cacheField>
    <cacheField name="sex" numFmtId="0">
      <sharedItems containsBlank="1" count="3">
        <s v="MALE"/>
        <s v="FEMALE"/>
        <m/>
      </sharedItems>
    </cacheField>
    <cacheField name=" Avg body mass  abv midpoint" numFmtId="0">
      <sharedItems count="2">
        <s v="Yes"/>
        <s v="No"/>
      </sharedItems>
    </cacheField>
  </cacheFields>
  <extLst>
    <ext xmlns:x14="http://schemas.microsoft.com/office/spreadsheetml/2009/9/main" uri="{725AE2AE-9491-48be-B2B4-4EB974FC3084}">
      <x14:pivotCacheDefinition pivotCacheId="127441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4">
  <r>
    <x v="0"/>
    <x v="0"/>
    <n v="49.2"/>
    <n v="15.2"/>
    <n v="221"/>
    <x v="0"/>
    <x v="0"/>
    <x v="0"/>
  </r>
  <r>
    <x v="0"/>
    <x v="0"/>
    <n v="59.6"/>
    <n v="17"/>
    <n v="230"/>
    <x v="1"/>
    <x v="0"/>
    <x v="0"/>
  </r>
  <r>
    <x v="0"/>
    <x v="0"/>
    <n v="51.1"/>
    <n v="16.3"/>
    <n v="220"/>
    <x v="2"/>
    <x v="0"/>
    <x v="0"/>
  </r>
  <r>
    <x v="0"/>
    <x v="0"/>
    <n v="48.8"/>
    <n v="16.2"/>
    <n v="222"/>
    <x v="2"/>
    <x v="0"/>
    <x v="0"/>
  </r>
  <r>
    <x v="0"/>
    <x v="0"/>
    <n v="45.2"/>
    <n v="16.399999999999999"/>
    <n v="223"/>
    <x v="3"/>
    <x v="0"/>
    <x v="0"/>
  </r>
  <r>
    <x v="0"/>
    <x v="0"/>
    <n v="49.8"/>
    <n v="15.9"/>
    <n v="229"/>
    <x v="3"/>
    <x v="0"/>
    <x v="0"/>
  </r>
  <r>
    <x v="0"/>
    <x v="0"/>
    <n v="48.4"/>
    <n v="14.6"/>
    <n v="213"/>
    <x v="4"/>
    <x v="0"/>
    <x v="0"/>
  </r>
  <r>
    <x v="0"/>
    <x v="0"/>
    <n v="49.3"/>
    <n v="15.7"/>
    <n v="217"/>
    <x v="4"/>
    <x v="0"/>
    <x v="0"/>
  </r>
  <r>
    <x v="0"/>
    <x v="0"/>
    <n v="55.1"/>
    <n v="16"/>
    <n v="230"/>
    <x v="4"/>
    <x v="0"/>
    <x v="0"/>
  </r>
  <r>
    <x v="0"/>
    <x v="0"/>
    <n v="49.5"/>
    <n v="16.2"/>
    <n v="229"/>
    <x v="5"/>
    <x v="0"/>
    <x v="0"/>
  </r>
  <r>
    <x v="0"/>
    <x v="0"/>
    <n v="48.6"/>
    <n v="16"/>
    <n v="230"/>
    <x v="5"/>
    <x v="0"/>
    <x v="0"/>
  </r>
  <r>
    <x v="0"/>
    <x v="0"/>
    <n v="50.4"/>
    <n v="15.7"/>
    <n v="222"/>
    <x v="6"/>
    <x v="0"/>
    <x v="0"/>
  </r>
  <r>
    <x v="0"/>
    <x v="0"/>
    <n v="50"/>
    <n v="16.3"/>
    <n v="230"/>
    <x v="7"/>
    <x v="0"/>
    <x v="0"/>
  </r>
  <r>
    <x v="0"/>
    <x v="0"/>
    <n v="50"/>
    <n v="15.2"/>
    <n v="218"/>
    <x v="7"/>
    <x v="0"/>
    <x v="0"/>
  </r>
  <r>
    <x v="0"/>
    <x v="0"/>
    <n v="50.2"/>
    <n v="14.3"/>
    <n v="218"/>
    <x v="7"/>
    <x v="0"/>
    <x v="0"/>
  </r>
  <r>
    <x v="0"/>
    <x v="0"/>
    <n v="49.6"/>
    <n v="16"/>
    <n v="225"/>
    <x v="7"/>
    <x v="0"/>
    <x v="0"/>
  </r>
  <r>
    <x v="0"/>
    <x v="0"/>
    <n v="49.8"/>
    <n v="16.8"/>
    <n v="230"/>
    <x v="7"/>
    <x v="0"/>
    <x v="0"/>
  </r>
  <r>
    <x v="0"/>
    <x v="0"/>
    <n v="47.8"/>
    <n v="15"/>
    <n v="215"/>
    <x v="8"/>
    <x v="0"/>
    <x v="0"/>
  </r>
  <r>
    <x v="0"/>
    <x v="0"/>
    <n v="54.3"/>
    <n v="15.7"/>
    <n v="231"/>
    <x v="8"/>
    <x v="0"/>
    <x v="0"/>
  </r>
  <r>
    <x v="0"/>
    <x v="0"/>
    <n v="49.5"/>
    <n v="16.100000000000001"/>
    <n v="224"/>
    <x v="8"/>
    <x v="0"/>
    <x v="0"/>
  </r>
  <r>
    <x v="0"/>
    <x v="0"/>
    <n v="50.8"/>
    <n v="17.3"/>
    <n v="228"/>
    <x v="9"/>
    <x v="0"/>
    <x v="0"/>
  </r>
  <r>
    <x v="0"/>
    <x v="0"/>
    <n v="55.9"/>
    <n v="17"/>
    <n v="228"/>
    <x v="9"/>
    <x v="0"/>
    <x v="0"/>
  </r>
  <r>
    <x v="0"/>
    <x v="0"/>
    <n v="49"/>
    <n v="16.100000000000001"/>
    <n v="216"/>
    <x v="10"/>
    <x v="0"/>
    <x v="0"/>
  </r>
  <r>
    <x v="0"/>
    <x v="0"/>
    <n v="50"/>
    <n v="15.3"/>
    <n v="220"/>
    <x v="10"/>
    <x v="0"/>
    <x v="0"/>
  </r>
  <r>
    <x v="0"/>
    <x v="0"/>
    <n v="50.5"/>
    <n v="15.9"/>
    <n v="222"/>
    <x v="10"/>
    <x v="0"/>
    <x v="0"/>
  </r>
  <r>
    <x v="0"/>
    <x v="0"/>
    <n v="50.4"/>
    <n v="15.3"/>
    <n v="224"/>
    <x v="10"/>
    <x v="0"/>
    <x v="0"/>
  </r>
  <r>
    <x v="0"/>
    <x v="0"/>
    <n v="50.7"/>
    <n v="15"/>
    <n v="223"/>
    <x v="10"/>
    <x v="0"/>
    <x v="0"/>
  </r>
  <r>
    <x v="0"/>
    <x v="0"/>
    <n v="52.1"/>
    <n v="17"/>
    <n v="230"/>
    <x v="10"/>
    <x v="0"/>
    <x v="0"/>
  </r>
  <r>
    <x v="0"/>
    <x v="0"/>
    <n v="49.1"/>
    <n v="15"/>
    <n v="228"/>
    <x v="11"/>
    <x v="0"/>
    <x v="0"/>
  </r>
  <r>
    <x v="0"/>
    <x v="0"/>
    <n v="46.8"/>
    <n v="16.100000000000001"/>
    <n v="215"/>
    <x v="11"/>
    <x v="0"/>
    <x v="0"/>
  </r>
  <r>
    <x v="0"/>
    <x v="0"/>
    <n v="53.4"/>
    <n v="15.8"/>
    <n v="219"/>
    <x v="11"/>
    <x v="0"/>
    <x v="0"/>
  </r>
  <r>
    <x v="0"/>
    <x v="0"/>
    <n v="48.1"/>
    <n v="15.1"/>
    <n v="209"/>
    <x v="11"/>
    <x v="0"/>
    <x v="0"/>
  </r>
  <r>
    <x v="0"/>
    <x v="0"/>
    <n v="51.5"/>
    <n v="16.3"/>
    <n v="230"/>
    <x v="11"/>
    <x v="0"/>
    <x v="0"/>
  </r>
  <r>
    <x v="0"/>
    <x v="0"/>
    <n v="52.5"/>
    <n v="15.6"/>
    <n v="221"/>
    <x v="12"/>
    <x v="0"/>
    <x v="0"/>
  </r>
  <r>
    <x v="0"/>
    <x v="0"/>
    <n v="47.6"/>
    <n v="14.5"/>
    <n v="215"/>
    <x v="13"/>
    <x v="0"/>
    <x v="0"/>
  </r>
  <r>
    <x v="0"/>
    <x v="0"/>
    <n v="48.4"/>
    <n v="16.3"/>
    <n v="220"/>
    <x v="13"/>
    <x v="0"/>
    <x v="0"/>
  </r>
  <r>
    <x v="0"/>
    <x v="0"/>
    <n v="50.5"/>
    <n v="15.9"/>
    <n v="225"/>
    <x v="13"/>
    <x v="0"/>
    <x v="0"/>
  </r>
  <r>
    <x v="0"/>
    <x v="0"/>
    <n v="52.2"/>
    <n v="17.100000000000001"/>
    <n v="228"/>
    <x v="13"/>
    <x v="0"/>
    <x v="0"/>
  </r>
  <r>
    <x v="0"/>
    <x v="0"/>
    <n v="49.9"/>
    <n v="16.100000000000001"/>
    <n v="213"/>
    <x v="13"/>
    <x v="0"/>
    <x v="0"/>
  </r>
  <r>
    <x v="0"/>
    <x v="0"/>
    <n v="48.7"/>
    <n v="15.1"/>
    <n v="222"/>
    <x v="14"/>
    <x v="0"/>
    <x v="0"/>
  </r>
  <r>
    <x v="0"/>
    <x v="0"/>
    <n v="48.7"/>
    <n v="15.7"/>
    <n v="208"/>
    <x v="14"/>
    <x v="0"/>
    <x v="0"/>
  </r>
  <r>
    <x v="0"/>
    <x v="0"/>
    <n v="50"/>
    <n v="15.9"/>
    <n v="224"/>
    <x v="14"/>
    <x v="0"/>
    <x v="0"/>
  </r>
  <r>
    <x v="0"/>
    <x v="0"/>
    <n v="45.2"/>
    <n v="15.8"/>
    <n v="215"/>
    <x v="15"/>
    <x v="0"/>
    <x v="0"/>
  </r>
  <r>
    <x v="0"/>
    <x v="0"/>
    <n v="48.5"/>
    <n v="14.1"/>
    <n v="220"/>
    <x v="15"/>
    <x v="0"/>
    <x v="0"/>
  </r>
  <r>
    <x v="0"/>
    <x v="0"/>
    <n v="46.2"/>
    <n v="14.9"/>
    <n v="221"/>
    <x v="15"/>
    <x v="0"/>
    <x v="0"/>
  </r>
  <r>
    <x v="0"/>
    <x v="0"/>
    <n v="51.3"/>
    <n v="14.2"/>
    <n v="218"/>
    <x v="15"/>
    <x v="0"/>
    <x v="0"/>
  </r>
  <r>
    <x v="0"/>
    <x v="0"/>
    <n v="47.3"/>
    <n v="15.3"/>
    <n v="222"/>
    <x v="16"/>
    <x v="0"/>
    <x v="0"/>
  </r>
  <r>
    <x v="0"/>
    <x v="0"/>
    <n v="44.4"/>
    <n v="17.3"/>
    <n v="219"/>
    <x v="16"/>
    <x v="0"/>
    <x v="0"/>
  </r>
  <r>
    <x v="0"/>
    <x v="0"/>
    <n v="51.1"/>
    <n v="16.5"/>
    <n v="225"/>
    <x v="16"/>
    <x v="0"/>
    <x v="0"/>
  </r>
  <r>
    <x v="0"/>
    <x v="0"/>
    <n v="46.7"/>
    <n v="15.3"/>
    <n v="219"/>
    <x v="17"/>
    <x v="0"/>
    <x v="0"/>
  </r>
  <r>
    <x v="0"/>
    <x v="0"/>
    <n v="46.5"/>
    <n v="14.8"/>
    <n v="217"/>
    <x v="17"/>
    <x v="1"/>
    <x v="0"/>
  </r>
  <r>
    <x v="0"/>
    <x v="0"/>
    <n v="50.8"/>
    <n v="15.7"/>
    <n v="226"/>
    <x v="17"/>
    <x v="0"/>
    <x v="0"/>
  </r>
  <r>
    <x v="0"/>
    <x v="0"/>
    <n v="45.2"/>
    <n v="14.8"/>
    <n v="212"/>
    <x v="17"/>
    <x v="1"/>
    <x v="0"/>
  </r>
  <r>
    <x v="0"/>
    <x v="0"/>
    <n v="46.8"/>
    <n v="15.4"/>
    <n v="215"/>
    <x v="18"/>
    <x v="0"/>
    <x v="0"/>
  </r>
  <r>
    <x v="0"/>
    <x v="0"/>
    <n v="49.1"/>
    <n v="14.8"/>
    <n v="220"/>
    <x v="18"/>
    <x v="1"/>
    <x v="0"/>
  </r>
  <r>
    <x v="0"/>
    <x v="0"/>
    <n v="46.1"/>
    <n v="15.1"/>
    <n v="215"/>
    <x v="19"/>
    <x v="0"/>
    <x v="1"/>
  </r>
  <r>
    <x v="0"/>
    <x v="0"/>
    <n v="44.9"/>
    <n v="13.3"/>
    <n v="213"/>
    <x v="19"/>
    <x v="1"/>
    <x v="1"/>
  </r>
  <r>
    <x v="0"/>
    <x v="0"/>
    <n v="48.2"/>
    <n v="15.6"/>
    <n v="221"/>
    <x v="19"/>
    <x v="0"/>
    <x v="1"/>
  </r>
  <r>
    <x v="0"/>
    <x v="0"/>
    <n v="46.3"/>
    <n v="15.8"/>
    <n v="215"/>
    <x v="20"/>
    <x v="0"/>
    <x v="1"/>
  </r>
  <r>
    <x v="0"/>
    <x v="0"/>
    <n v="45.1"/>
    <n v="14.5"/>
    <n v="207"/>
    <x v="20"/>
    <x v="1"/>
    <x v="1"/>
  </r>
  <r>
    <x v="0"/>
    <x v="0"/>
    <n v="45"/>
    <n v="15.4"/>
    <n v="220"/>
    <x v="20"/>
    <x v="0"/>
    <x v="1"/>
  </r>
  <r>
    <x v="0"/>
    <x v="0"/>
    <n v="45.1"/>
    <n v="14.5"/>
    <n v="215"/>
    <x v="21"/>
    <x v="1"/>
    <x v="1"/>
  </r>
  <r>
    <x v="0"/>
    <x v="0"/>
    <n v="42.9"/>
    <n v="13.1"/>
    <n v="215"/>
    <x v="21"/>
    <x v="1"/>
    <x v="1"/>
  </r>
  <r>
    <x v="0"/>
    <x v="0"/>
    <n v="50.1"/>
    <n v="15"/>
    <n v="225"/>
    <x v="21"/>
    <x v="0"/>
    <x v="1"/>
  </r>
  <r>
    <x v="0"/>
    <x v="0"/>
    <n v="45.5"/>
    <n v="15"/>
    <n v="220"/>
    <x v="21"/>
    <x v="0"/>
    <x v="1"/>
  </r>
  <r>
    <x v="0"/>
    <x v="0"/>
    <n v="46.4"/>
    <n v="15.6"/>
    <n v="221"/>
    <x v="21"/>
    <x v="0"/>
    <x v="1"/>
  </r>
  <r>
    <x v="0"/>
    <x v="0"/>
    <n v="50.5"/>
    <n v="15.2"/>
    <n v="216"/>
    <x v="21"/>
    <x v="1"/>
    <x v="1"/>
  </r>
  <r>
    <x v="0"/>
    <x v="0"/>
    <n v="47.2"/>
    <n v="15.5"/>
    <n v="215"/>
    <x v="22"/>
    <x v="1"/>
    <x v="1"/>
  </r>
  <r>
    <x v="0"/>
    <x v="0"/>
    <n v="42.6"/>
    <n v="13.7"/>
    <n v="213"/>
    <x v="23"/>
    <x v="1"/>
    <x v="1"/>
  </r>
  <r>
    <x v="0"/>
    <x v="0"/>
    <n v="47.5"/>
    <n v="15"/>
    <n v="218"/>
    <x v="23"/>
    <x v="1"/>
    <x v="1"/>
  </r>
  <r>
    <x v="0"/>
    <x v="0"/>
    <n v="49.4"/>
    <n v="15.8"/>
    <n v="216"/>
    <x v="24"/>
    <x v="0"/>
    <x v="1"/>
  </r>
  <r>
    <x v="0"/>
    <x v="0"/>
    <n v="47.2"/>
    <n v="13.7"/>
    <n v="214"/>
    <x v="24"/>
    <x v="1"/>
    <x v="1"/>
  </r>
  <r>
    <x v="0"/>
    <x v="0"/>
    <n v="43.6"/>
    <n v="13.9"/>
    <n v="217"/>
    <x v="25"/>
    <x v="1"/>
    <x v="1"/>
  </r>
  <r>
    <x v="0"/>
    <x v="0"/>
    <n v="46.5"/>
    <n v="14.4"/>
    <n v="217"/>
    <x v="25"/>
    <x v="1"/>
    <x v="1"/>
  </r>
  <r>
    <x v="0"/>
    <x v="0"/>
    <n v="47.5"/>
    <n v="14"/>
    <n v="212"/>
    <x v="26"/>
    <x v="1"/>
    <x v="1"/>
  </r>
  <r>
    <x v="0"/>
    <x v="0"/>
    <n v="46.9"/>
    <n v="14.6"/>
    <n v="222"/>
    <x v="26"/>
    <x v="1"/>
    <x v="1"/>
  </r>
  <r>
    <x v="0"/>
    <x v="0"/>
    <n v="44.5"/>
    <n v="15.7"/>
    <n v="217"/>
    <x v="26"/>
    <x v="2"/>
    <x v="1"/>
  </r>
  <r>
    <x v="0"/>
    <x v="0"/>
    <n v="46.6"/>
    <n v="14.2"/>
    <n v="210"/>
    <x v="27"/>
    <x v="1"/>
    <x v="1"/>
  </r>
  <r>
    <x v="0"/>
    <x v="0"/>
    <n v="44.5"/>
    <n v="14.7"/>
    <n v="214"/>
    <x v="27"/>
    <x v="1"/>
    <x v="1"/>
  </r>
  <r>
    <x v="0"/>
    <x v="0"/>
    <n v="48.5"/>
    <n v="15"/>
    <n v="219"/>
    <x v="27"/>
    <x v="1"/>
    <x v="1"/>
  </r>
  <r>
    <x v="0"/>
    <x v="0"/>
    <n v="46.8"/>
    <n v="14.3"/>
    <n v="215"/>
    <x v="27"/>
    <x v="1"/>
    <x v="1"/>
  </r>
  <r>
    <x v="1"/>
    <x v="1"/>
    <n v="52"/>
    <n v="20.7"/>
    <n v="210"/>
    <x v="28"/>
    <x v="0"/>
    <x v="0"/>
  </r>
  <r>
    <x v="0"/>
    <x v="0"/>
    <n v="45.4"/>
    <n v="14.6"/>
    <n v="211"/>
    <x v="28"/>
    <x v="1"/>
    <x v="1"/>
  </r>
  <r>
    <x v="0"/>
    <x v="0"/>
    <n v="46.2"/>
    <n v="14.5"/>
    <n v="209"/>
    <x v="28"/>
    <x v="1"/>
    <x v="1"/>
  </r>
  <r>
    <x v="2"/>
    <x v="0"/>
    <n v="43.2"/>
    <n v="19"/>
    <n v="197"/>
    <x v="29"/>
    <x v="0"/>
    <x v="0"/>
  </r>
  <r>
    <x v="0"/>
    <x v="0"/>
    <n v="49.6"/>
    <n v="15"/>
    <n v="216"/>
    <x v="30"/>
    <x v="0"/>
    <x v="1"/>
  </r>
  <r>
    <x v="0"/>
    <x v="0"/>
    <n v="47.7"/>
    <n v="15"/>
    <n v="216"/>
    <x v="30"/>
    <x v="1"/>
    <x v="1"/>
  </r>
  <r>
    <x v="0"/>
    <x v="0"/>
    <n v="45.2"/>
    <n v="13.8"/>
    <n v="215"/>
    <x v="30"/>
    <x v="1"/>
    <x v="1"/>
  </r>
  <r>
    <x v="0"/>
    <x v="0"/>
    <n v="44.9"/>
    <n v="13.8"/>
    <n v="212"/>
    <x v="30"/>
    <x v="1"/>
    <x v="1"/>
  </r>
  <r>
    <x v="0"/>
    <x v="0"/>
    <n v="45.5"/>
    <n v="14.5"/>
    <n v="212"/>
    <x v="30"/>
    <x v="1"/>
    <x v="1"/>
  </r>
  <r>
    <x v="2"/>
    <x v="0"/>
    <n v="41"/>
    <n v="20"/>
    <n v="203"/>
    <x v="31"/>
    <x v="0"/>
    <x v="0"/>
  </r>
  <r>
    <x v="0"/>
    <x v="0"/>
    <n v="47.4"/>
    <n v="14.6"/>
    <n v="212"/>
    <x v="31"/>
    <x v="1"/>
    <x v="1"/>
  </r>
  <r>
    <x v="0"/>
    <x v="0"/>
    <n v="47.3"/>
    <n v="13.8"/>
    <n v="216"/>
    <x v="31"/>
    <x v="2"/>
    <x v="1"/>
  </r>
  <r>
    <x v="2"/>
    <x v="2"/>
    <n v="42.9"/>
    <n v="17.600000000000001"/>
    <n v="196"/>
    <x v="32"/>
    <x v="0"/>
    <x v="0"/>
  </r>
  <r>
    <x v="0"/>
    <x v="0"/>
    <n v="42.8"/>
    <n v="14.2"/>
    <n v="209"/>
    <x v="32"/>
    <x v="1"/>
    <x v="1"/>
  </r>
  <r>
    <x v="0"/>
    <x v="0"/>
    <n v="45.8"/>
    <n v="14.2"/>
    <n v="219"/>
    <x v="32"/>
    <x v="1"/>
    <x v="1"/>
  </r>
  <r>
    <x v="0"/>
    <x v="0"/>
    <n v="43.5"/>
    <n v="14.2"/>
    <n v="220"/>
    <x v="32"/>
    <x v="1"/>
    <x v="1"/>
  </r>
  <r>
    <x v="0"/>
    <x v="0"/>
    <n v="46.4"/>
    <n v="15"/>
    <n v="216"/>
    <x v="32"/>
    <x v="1"/>
    <x v="1"/>
  </r>
  <r>
    <x v="0"/>
    <x v="0"/>
    <n v="41.7"/>
    <n v="14.7"/>
    <n v="210"/>
    <x v="32"/>
    <x v="1"/>
    <x v="1"/>
  </r>
  <r>
    <x v="2"/>
    <x v="2"/>
    <n v="39.200000000000003"/>
    <n v="19.600000000000001"/>
    <n v="195"/>
    <x v="33"/>
    <x v="0"/>
    <x v="0"/>
  </r>
  <r>
    <x v="2"/>
    <x v="1"/>
    <n v="39.799999999999997"/>
    <n v="19.100000000000001"/>
    <n v="184"/>
    <x v="34"/>
    <x v="0"/>
    <x v="0"/>
  </r>
  <r>
    <x v="0"/>
    <x v="0"/>
    <n v="40.9"/>
    <n v="13.7"/>
    <n v="214"/>
    <x v="34"/>
    <x v="1"/>
    <x v="1"/>
  </r>
  <r>
    <x v="0"/>
    <x v="0"/>
    <n v="45.5"/>
    <n v="13.7"/>
    <n v="214"/>
    <x v="34"/>
    <x v="1"/>
    <x v="1"/>
  </r>
  <r>
    <x v="0"/>
    <x v="0"/>
    <n v="46.2"/>
    <n v="14.4"/>
    <n v="214"/>
    <x v="34"/>
    <x v="2"/>
    <x v="1"/>
  </r>
  <r>
    <x v="0"/>
    <x v="0"/>
    <n v="43.5"/>
    <n v="15.2"/>
    <n v="213"/>
    <x v="34"/>
    <x v="1"/>
    <x v="1"/>
  </r>
  <r>
    <x v="0"/>
    <x v="0"/>
    <n v="49.1"/>
    <n v="14.5"/>
    <n v="212"/>
    <x v="35"/>
    <x v="1"/>
    <x v="1"/>
  </r>
  <r>
    <x v="0"/>
    <x v="0"/>
    <n v="48.4"/>
    <n v="14.4"/>
    <n v="203"/>
    <x v="35"/>
    <x v="1"/>
    <x v="1"/>
  </r>
  <r>
    <x v="2"/>
    <x v="1"/>
    <n v="39.6"/>
    <n v="18.8"/>
    <n v="190"/>
    <x v="36"/>
    <x v="0"/>
    <x v="0"/>
  </r>
  <r>
    <x v="2"/>
    <x v="0"/>
    <n v="45.6"/>
    <n v="20.3"/>
    <n v="191"/>
    <x v="36"/>
    <x v="0"/>
    <x v="0"/>
  </r>
  <r>
    <x v="0"/>
    <x v="0"/>
    <n v="48.2"/>
    <n v="14.3"/>
    <n v="210"/>
    <x v="36"/>
    <x v="1"/>
    <x v="1"/>
  </r>
  <r>
    <x v="0"/>
    <x v="0"/>
    <n v="47.5"/>
    <n v="14.2"/>
    <n v="209"/>
    <x v="36"/>
    <x v="1"/>
    <x v="1"/>
  </r>
  <r>
    <x v="0"/>
    <x v="0"/>
    <n v="43.4"/>
    <n v="14.4"/>
    <n v="218"/>
    <x v="36"/>
    <x v="1"/>
    <x v="1"/>
  </r>
  <r>
    <x v="0"/>
    <x v="0"/>
    <n v="43.3"/>
    <n v="14"/>
    <n v="208"/>
    <x v="37"/>
    <x v="1"/>
    <x v="1"/>
  </r>
  <r>
    <x v="1"/>
    <x v="1"/>
    <n v="52.8"/>
    <n v="20"/>
    <n v="205"/>
    <x v="38"/>
    <x v="0"/>
    <x v="0"/>
  </r>
  <r>
    <x v="0"/>
    <x v="0"/>
    <n v="46.5"/>
    <n v="13.5"/>
    <n v="210"/>
    <x v="38"/>
    <x v="1"/>
    <x v="1"/>
  </r>
  <r>
    <x v="2"/>
    <x v="2"/>
    <n v="42.5"/>
    <n v="20.7"/>
    <n v="197"/>
    <x v="39"/>
    <x v="0"/>
    <x v="0"/>
  </r>
  <r>
    <x v="1"/>
    <x v="1"/>
    <n v="53.5"/>
    <n v="19.899999999999999"/>
    <n v="205"/>
    <x v="39"/>
    <x v="0"/>
    <x v="0"/>
  </r>
  <r>
    <x v="0"/>
    <x v="0"/>
    <n v="46.1"/>
    <n v="13.2"/>
    <n v="211"/>
    <x v="39"/>
    <x v="1"/>
    <x v="1"/>
  </r>
  <r>
    <x v="2"/>
    <x v="1"/>
    <n v="37.5"/>
    <n v="18.5"/>
    <n v="199"/>
    <x v="40"/>
    <x v="0"/>
    <x v="0"/>
  </r>
  <r>
    <x v="2"/>
    <x v="2"/>
    <n v="41.8"/>
    <n v="19.399999999999999"/>
    <n v="198"/>
    <x v="41"/>
    <x v="0"/>
    <x v="0"/>
  </r>
  <r>
    <x v="2"/>
    <x v="1"/>
    <n v="39.6"/>
    <n v="18.100000000000001"/>
    <n v="186"/>
    <x v="41"/>
    <x v="0"/>
    <x v="0"/>
  </r>
  <r>
    <x v="1"/>
    <x v="1"/>
    <n v="50.8"/>
    <n v="18.5"/>
    <n v="201"/>
    <x v="41"/>
    <x v="0"/>
    <x v="0"/>
  </r>
  <r>
    <x v="0"/>
    <x v="0"/>
    <n v="48.7"/>
    <n v="14.1"/>
    <n v="210"/>
    <x v="41"/>
    <x v="1"/>
    <x v="1"/>
  </r>
  <r>
    <x v="0"/>
    <x v="0"/>
    <n v="43.2"/>
    <n v="14.5"/>
    <n v="208"/>
    <x v="41"/>
    <x v="1"/>
    <x v="1"/>
  </r>
  <r>
    <x v="2"/>
    <x v="2"/>
    <n v="34.6"/>
    <n v="21.1"/>
    <n v="198"/>
    <x v="42"/>
    <x v="0"/>
    <x v="0"/>
  </r>
  <r>
    <x v="2"/>
    <x v="1"/>
    <n v="44.1"/>
    <n v="19.7"/>
    <n v="196"/>
    <x v="42"/>
    <x v="0"/>
    <x v="0"/>
  </r>
  <r>
    <x v="2"/>
    <x v="0"/>
    <n v="41.3"/>
    <n v="21.1"/>
    <n v="195"/>
    <x v="42"/>
    <x v="0"/>
    <x v="0"/>
  </r>
  <r>
    <x v="1"/>
    <x v="1"/>
    <n v="49.2"/>
    <n v="18.2"/>
    <n v="195"/>
    <x v="42"/>
    <x v="0"/>
    <x v="0"/>
  </r>
  <r>
    <x v="0"/>
    <x v="0"/>
    <n v="43.3"/>
    <n v="13.4"/>
    <n v="209"/>
    <x v="42"/>
    <x v="1"/>
    <x v="1"/>
  </r>
  <r>
    <x v="0"/>
    <x v="0"/>
    <n v="46.5"/>
    <n v="14.5"/>
    <n v="213"/>
    <x v="42"/>
    <x v="1"/>
    <x v="1"/>
  </r>
  <r>
    <x v="0"/>
    <x v="0"/>
    <n v="45.1"/>
    <n v="14.4"/>
    <n v="210"/>
    <x v="42"/>
    <x v="1"/>
    <x v="1"/>
  </r>
  <r>
    <x v="0"/>
    <x v="0"/>
    <n v="45.7"/>
    <n v="13.9"/>
    <n v="214"/>
    <x v="42"/>
    <x v="1"/>
    <x v="1"/>
  </r>
  <r>
    <x v="0"/>
    <x v="0"/>
    <n v="46.2"/>
    <n v="14.1"/>
    <n v="217"/>
    <x v="43"/>
    <x v="1"/>
    <x v="1"/>
  </r>
  <r>
    <x v="2"/>
    <x v="1"/>
    <n v="40.299999999999997"/>
    <n v="18.5"/>
    <n v="196"/>
    <x v="44"/>
    <x v="0"/>
    <x v="0"/>
  </r>
  <r>
    <x v="0"/>
    <x v="0"/>
    <n v="44"/>
    <n v="13.6"/>
    <n v="208"/>
    <x v="44"/>
    <x v="1"/>
    <x v="1"/>
  </r>
  <r>
    <x v="2"/>
    <x v="0"/>
    <n v="40.1"/>
    <n v="18.899999999999999"/>
    <n v="188"/>
    <x v="45"/>
    <x v="0"/>
    <x v="0"/>
  </r>
  <r>
    <x v="2"/>
    <x v="1"/>
    <n v="41.1"/>
    <n v="18.100000000000001"/>
    <n v="205"/>
    <x v="45"/>
    <x v="0"/>
    <x v="0"/>
  </r>
  <r>
    <x v="2"/>
    <x v="1"/>
    <n v="40.799999999999997"/>
    <n v="18.899999999999999"/>
    <n v="208"/>
    <x v="45"/>
    <x v="0"/>
    <x v="0"/>
  </r>
  <r>
    <x v="2"/>
    <x v="2"/>
    <n v="41.5"/>
    <n v="18.3"/>
    <n v="195"/>
    <x v="45"/>
    <x v="0"/>
    <x v="0"/>
  </r>
  <r>
    <x v="1"/>
    <x v="1"/>
    <n v="54.2"/>
    <n v="20.8"/>
    <n v="201"/>
    <x v="45"/>
    <x v="0"/>
    <x v="0"/>
  </r>
  <r>
    <x v="1"/>
    <x v="1"/>
    <n v="49"/>
    <n v="19.600000000000001"/>
    <n v="212"/>
    <x v="45"/>
    <x v="0"/>
    <x v="0"/>
  </r>
  <r>
    <x v="0"/>
    <x v="0"/>
    <n v="45.3"/>
    <n v="13.7"/>
    <n v="210"/>
    <x v="45"/>
    <x v="1"/>
    <x v="1"/>
  </r>
  <r>
    <x v="0"/>
    <x v="0"/>
    <n v="43.8"/>
    <n v="13.9"/>
    <n v="208"/>
    <x v="45"/>
    <x v="1"/>
    <x v="1"/>
  </r>
  <r>
    <x v="2"/>
    <x v="0"/>
    <n v="42.2"/>
    <n v="19.5"/>
    <n v="197"/>
    <x v="46"/>
    <x v="0"/>
    <x v="0"/>
  </r>
  <r>
    <x v="2"/>
    <x v="2"/>
    <n v="42"/>
    <n v="20.2"/>
    <n v="190"/>
    <x v="47"/>
    <x v="2"/>
    <x v="0"/>
  </r>
  <r>
    <x v="2"/>
    <x v="2"/>
    <n v="42.8"/>
    <n v="18.5"/>
    <n v="195"/>
    <x v="47"/>
    <x v="0"/>
    <x v="0"/>
  </r>
  <r>
    <x v="2"/>
    <x v="0"/>
    <n v="37.799999999999997"/>
    <n v="20"/>
    <n v="190"/>
    <x v="47"/>
    <x v="0"/>
    <x v="0"/>
  </r>
  <r>
    <x v="2"/>
    <x v="1"/>
    <n v="39.700000000000003"/>
    <n v="17.899999999999999"/>
    <n v="193"/>
    <x v="47"/>
    <x v="0"/>
    <x v="0"/>
  </r>
  <r>
    <x v="2"/>
    <x v="1"/>
    <n v="39.200000000000003"/>
    <n v="18.600000000000001"/>
    <n v="190"/>
    <x v="47"/>
    <x v="0"/>
    <x v="0"/>
  </r>
  <r>
    <x v="2"/>
    <x v="2"/>
    <n v="46"/>
    <n v="21.5"/>
    <n v="194"/>
    <x v="48"/>
    <x v="0"/>
    <x v="0"/>
  </r>
  <r>
    <x v="2"/>
    <x v="2"/>
    <n v="35.1"/>
    <n v="19.399999999999999"/>
    <n v="193"/>
    <x v="48"/>
    <x v="0"/>
    <x v="0"/>
  </r>
  <r>
    <x v="0"/>
    <x v="0"/>
    <n v="45.8"/>
    <n v="14.6"/>
    <n v="210"/>
    <x v="48"/>
    <x v="1"/>
    <x v="1"/>
  </r>
  <r>
    <x v="0"/>
    <x v="0"/>
    <n v="45.5"/>
    <n v="13.9"/>
    <n v="210"/>
    <x v="48"/>
    <x v="1"/>
    <x v="1"/>
  </r>
  <r>
    <x v="0"/>
    <x v="0"/>
    <n v="45.3"/>
    <n v="13.8"/>
    <n v="208"/>
    <x v="48"/>
    <x v="1"/>
    <x v="1"/>
  </r>
  <r>
    <x v="2"/>
    <x v="1"/>
    <n v="39.200000000000003"/>
    <n v="21.1"/>
    <n v="196"/>
    <x v="49"/>
    <x v="0"/>
    <x v="0"/>
  </r>
  <r>
    <x v="2"/>
    <x v="1"/>
    <n v="42.3"/>
    <n v="21.2"/>
    <n v="191"/>
    <x v="49"/>
    <x v="0"/>
    <x v="0"/>
  </r>
  <r>
    <x v="2"/>
    <x v="2"/>
    <n v="45.8"/>
    <n v="18.899999999999999"/>
    <n v="197"/>
    <x v="49"/>
    <x v="0"/>
    <x v="0"/>
  </r>
  <r>
    <x v="1"/>
    <x v="1"/>
    <n v="46"/>
    <n v="18.899999999999999"/>
    <n v="195"/>
    <x v="49"/>
    <x v="1"/>
    <x v="0"/>
  </r>
  <r>
    <x v="1"/>
    <x v="1"/>
    <n v="52"/>
    <n v="19"/>
    <n v="197"/>
    <x v="49"/>
    <x v="0"/>
    <x v="0"/>
  </r>
  <r>
    <x v="0"/>
    <x v="0"/>
    <n v="42"/>
    <n v="13.5"/>
    <n v="210"/>
    <x v="49"/>
    <x v="1"/>
    <x v="1"/>
  </r>
  <r>
    <x v="2"/>
    <x v="0"/>
    <n v="41.1"/>
    <n v="19.100000000000001"/>
    <n v="188"/>
    <x v="50"/>
    <x v="0"/>
    <x v="0"/>
  </r>
  <r>
    <x v="2"/>
    <x v="1"/>
    <n v="43.2"/>
    <n v="18.5"/>
    <n v="192"/>
    <x v="50"/>
    <x v="0"/>
    <x v="0"/>
  </r>
  <r>
    <x v="1"/>
    <x v="1"/>
    <n v="51"/>
    <n v="18.8"/>
    <n v="203"/>
    <x v="50"/>
    <x v="0"/>
    <x v="0"/>
  </r>
  <r>
    <x v="1"/>
    <x v="1"/>
    <n v="50.8"/>
    <n v="19"/>
    <n v="210"/>
    <x v="50"/>
    <x v="0"/>
    <x v="0"/>
  </r>
  <r>
    <x v="0"/>
    <x v="0"/>
    <n v="44.5"/>
    <n v="14.3"/>
    <n v="216"/>
    <x v="50"/>
    <x v="2"/>
    <x v="1"/>
  </r>
  <r>
    <x v="2"/>
    <x v="0"/>
    <n v="42.7"/>
    <n v="18.3"/>
    <n v="196"/>
    <x v="51"/>
    <x v="0"/>
    <x v="0"/>
  </r>
  <r>
    <x v="2"/>
    <x v="0"/>
    <n v="42"/>
    <n v="19.5"/>
    <n v="200"/>
    <x v="52"/>
    <x v="0"/>
    <x v="0"/>
  </r>
  <r>
    <x v="2"/>
    <x v="0"/>
    <n v="41.1"/>
    <n v="18.2"/>
    <n v="192"/>
    <x v="52"/>
    <x v="0"/>
    <x v="0"/>
  </r>
  <r>
    <x v="1"/>
    <x v="1"/>
    <n v="52"/>
    <n v="18.100000000000001"/>
    <n v="201"/>
    <x v="52"/>
    <x v="0"/>
    <x v="0"/>
  </r>
  <r>
    <x v="1"/>
    <x v="1"/>
    <n v="50.5"/>
    <n v="19.600000000000001"/>
    <n v="201"/>
    <x v="52"/>
    <x v="0"/>
    <x v="0"/>
  </r>
  <r>
    <x v="1"/>
    <x v="1"/>
    <n v="50.7"/>
    <n v="19.7"/>
    <n v="203"/>
    <x v="52"/>
    <x v="0"/>
    <x v="0"/>
  </r>
  <r>
    <x v="1"/>
    <x v="1"/>
    <n v="49.3"/>
    <n v="19.899999999999999"/>
    <n v="203"/>
    <x v="52"/>
    <x v="0"/>
    <x v="0"/>
  </r>
  <r>
    <x v="2"/>
    <x v="2"/>
    <n v="42.1"/>
    <n v="19.100000000000001"/>
    <n v="195"/>
    <x v="53"/>
    <x v="0"/>
    <x v="0"/>
  </r>
  <r>
    <x v="2"/>
    <x v="2"/>
    <n v="40.6"/>
    <n v="19"/>
    <n v="199"/>
    <x v="53"/>
    <x v="0"/>
    <x v="0"/>
  </r>
  <r>
    <x v="2"/>
    <x v="2"/>
    <n v="44.1"/>
    <n v="18"/>
    <n v="210"/>
    <x v="53"/>
    <x v="0"/>
    <x v="0"/>
  </r>
  <r>
    <x v="2"/>
    <x v="1"/>
    <n v="41.5"/>
    <n v="18.5"/>
    <n v="201"/>
    <x v="53"/>
    <x v="0"/>
    <x v="0"/>
  </r>
  <r>
    <x v="1"/>
    <x v="1"/>
    <n v="55.8"/>
    <n v="19.8"/>
    <n v="207"/>
    <x v="53"/>
    <x v="0"/>
    <x v="0"/>
  </r>
  <r>
    <x v="2"/>
    <x v="1"/>
    <n v="40.200000000000003"/>
    <n v="20.100000000000001"/>
    <n v="200"/>
    <x v="54"/>
    <x v="0"/>
    <x v="0"/>
  </r>
  <r>
    <x v="2"/>
    <x v="0"/>
    <n v="38.200000000000003"/>
    <n v="18.100000000000001"/>
    <n v="185"/>
    <x v="55"/>
    <x v="0"/>
    <x v="0"/>
  </r>
  <r>
    <x v="2"/>
    <x v="0"/>
    <n v="40.5"/>
    <n v="18.899999999999999"/>
    <n v="180"/>
    <x v="55"/>
    <x v="0"/>
    <x v="0"/>
  </r>
  <r>
    <x v="2"/>
    <x v="1"/>
    <n v="38.799999999999997"/>
    <n v="20"/>
    <n v="190"/>
    <x v="55"/>
    <x v="0"/>
    <x v="0"/>
  </r>
  <r>
    <x v="2"/>
    <x v="0"/>
    <n v="41.6"/>
    <n v="18"/>
    <n v="192"/>
    <x v="55"/>
    <x v="0"/>
    <x v="0"/>
  </r>
  <r>
    <x v="2"/>
    <x v="1"/>
    <n v="38.299999999999997"/>
    <n v="19.2"/>
    <n v="189"/>
    <x v="55"/>
    <x v="0"/>
    <x v="0"/>
  </r>
  <r>
    <x v="1"/>
    <x v="1"/>
    <n v="45.2"/>
    <n v="17.8"/>
    <n v="198"/>
    <x v="55"/>
    <x v="1"/>
    <x v="0"/>
  </r>
  <r>
    <x v="1"/>
    <x v="1"/>
    <n v="49"/>
    <n v="19.5"/>
    <n v="210"/>
    <x v="55"/>
    <x v="0"/>
    <x v="0"/>
  </r>
  <r>
    <x v="1"/>
    <x v="1"/>
    <n v="51.4"/>
    <n v="19"/>
    <n v="201"/>
    <x v="55"/>
    <x v="0"/>
    <x v="0"/>
  </r>
  <r>
    <x v="1"/>
    <x v="1"/>
    <n v="51.9"/>
    <n v="19.5"/>
    <n v="206"/>
    <x v="55"/>
    <x v="0"/>
    <x v="0"/>
  </r>
  <r>
    <x v="0"/>
    <x v="0"/>
    <n v="42.7"/>
    <n v="13.7"/>
    <n v="208"/>
    <x v="55"/>
    <x v="1"/>
    <x v="1"/>
  </r>
  <r>
    <x v="2"/>
    <x v="1"/>
    <n v="37.200000000000003"/>
    <n v="18.100000000000001"/>
    <n v="178"/>
    <x v="56"/>
    <x v="0"/>
    <x v="0"/>
  </r>
  <r>
    <x v="2"/>
    <x v="1"/>
    <n v="40.9"/>
    <n v="18.899999999999999"/>
    <n v="184"/>
    <x v="56"/>
    <x v="0"/>
    <x v="0"/>
  </r>
  <r>
    <x v="2"/>
    <x v="1"/>
    <n v="40.799999999999997"/>
    <n v="18.399999999999999"/>
    <n v="195"/>
    <x v="56"/>
    <x v="0"/>
    <x v="0"/>
  </r>
  <r>
    <x v="2"/>
    <x v="2"/>
    <n v="39.700000000000003"/>
    <n v="18.399999999999999"/>
    <n v="190"/>
    <x v="56"/>
    <x v="0"/>
    <x v="0"/>
  </r>
  <r>
    <x v="2"/>
    <x v="2"/>
    <n v="37.200000000000003"/>
    <n v="19.399999999999999"/>
    <n v="184"/>
    <x v="56"/>
    <x v="0"/>
    <x v="0"/>
  </r>
  <r>
    <x v="2"/>
    <x v="0"/>
    <n v="38.200000000000003"/>
    <n v="20"/>
    <n v="190"/>
    <x v="56"/>
    <x v="0"/>
    <x v="0"/>
  </r>
  <r>
    <x v="2"/>
    <x v="0"/>
    <n v="39.6"/>
    <n v="20.7"/>
    <n v="191"/>
    <x v="56"/>
    <x v="1"/>
    <x v="0"/>
  </r>
  <r>
    <x v="2"/>
    <x v="1"/>
    <n v="41.1"/>
    <n v="17.5"/>
    <n v="190"/>
    <x v="56"/>
    <x v="0"/>
    <x v="0"/>
  </r>
  <r>
    <x v="1"/>
    <x v="1"/>
    <n v="50"/>
    <n v="19.5"/>
    <n v="196"/>
    <x v="56"/>
    <x v="0"/>
    <x v="0"/>
  </r>
  <r>
    <x v="1"/>
    <x v="1"/>
    <n v="47.5"/>
    <n v="16.8"/>
    <n v="199"/>
    <x v="56"/>
    <x v="1"/>
    <x v="0"/>
  </r>
  <r>
    <x v="2"/>
    <x v="2"/>
    <n v="41.4"/>
    <n v="18.5"/>
    <n v="202"/>
    <x v="57"/>
    <x v="0"/>
    <x v="0"/>
  </r>
  <r>
    <x v="1"/>
    <x v="1"/>
    <n v="47.6"/>
    <n v="18.3"/>
    <n v="195"/>
    <x v="58"/>
    <x v="1"/>
    <x v="0"/>
  </r>
  <r>
    <x v="2"/>
    <x v="0"/>
    <n v="38.1"/>
    <n v="16.5"/>
    <n v="198"/>
    <x v="59"/>
    <x v="1"/>
    <x v="0"/>
  </r>
  <r>
    <x v="2"/>
    <x v="2"/>
    <n v="39.5"/>
    <n v="17.399999999999999"/>
    <n v="186"/>
    <x v="60"/>
    <x v="1"/>
    <x v="1"/>
  </r>
  <r>
    <x v="2"/>
    <x v="2"/>
    <n v="38.6"/>
    <n v="21.2"/>
    <n v="191"/>
    <x v="60"/>
    <x v="0"/>
    <x v="1"/>
  </r>
  <r>
    <x v="2"/>
    <x v="0"/>
    <n v="35.9"/>
    <n v="19.2"/>
    <n v="189"/>
    <x v="60"/>
    <x v="1"/>
    <x v="1"/>
  </r>
  <r>
    <x v="2"/>
    <x v="0"/>
    <n v="38.799999999999997"/>
    <n v="17.2"/>
    <n v="180"/>
    <x v="60"/>
    <x v="0"/>
    <x v="1"/>
  </r>
  <r>
    <x v="2"/>
    <x v="0"/>
    <n v="35.299999999999997"/>
    <n v="18.899999999999999"/>
    <n v="187"/>
    <x v="60"/>
    <x v="1"/>
    <x v="1"/>
  </r>
  <r>
    <x v="2"/>
    <x v="0"/>
    <n v="40.6"/>
    <n v="18.8"/>
    <n v="193"/>
    <x v="60"/>
    <x v="0"/>
    <x v="1"/>
  </r>
  <r>
    <x v="2"/>
    <x v="2"/>
    <n v="36.700000000000003"/>
    <n v="18.8"/>
    <n v="187"/>
    <x v="60"/>
    <x v="1"/>
    <x v="1"/>
  </r>
  <r>
    <x v="2"/>
    <x v="1"/>
    <n v="36.299999999999997"/>
    <n v="19.5"/>
    <n v="190"/>
    <x v="60"/>
    <x v="0"/>
    <x v="1"/>
  </r>
  <r>
    <x v="1"/>
    <x v="1"/>
    <n v="46.6"/>
    <n v="17.8"/>
    <n v="193"/>
    <x v="60"/>
    <x v="1"/>
    <x v="0"/>
  </r>
  <r>
    <x v="1"/>
    <x v="1"/>
    <n v="50.6"/>
    <n v="19.399999999999999"/>
    <n v="193"/>
    <x v="60"/>
    <x v="0"/>
    <x v="0"/>
  </r>
  <r>
    <x v="1"/>
    <x v="1"/>
    <n v="49.5"/>
    <n v="19"/>
    <n v="200"/>
    <x v="60"/>
    <x v="0"/>
    <x v="0"/>
  </r>
  <r>
    <x v="1"/>
    <x v="1"/>
    <n v="50.2"/>
    <n v="18.8"/>
    <n v="202"/>
    <x v="60"/>
    <x v="0"/>
    <x v="0"/>
  </r>
  <r>
    <x v="2"/>
    <x v="2"/>
    <n v="37.299999999999997"/>
    <n v="20.5"/>
    <n v="199"/>
    <x v="61"/>
    <x v="0"/>
    <x v="1"/>
  </r>
  <r>
    <x v="1"/>
    <x v="1"/>
    <n v="51.7"/>
    <n v="20.3"/>
    <n v="194"/>
    <x v="61"/>
    <x v="0"/>
    <x v="0"/>
  </r>
  <r>
    <x v="1"/>
    <x v="1"/>
    <n v="49.6"/>
    <n v="18.2"/>
    <n v="193"/>
    <x v="61"/>
    <x v="0"/>
    <x v="0"/>
  </r>
  <r>
    <x v="1"/>
    <x v="1"/>
    <n v="50.2"/>
    <n v="18.7"/>
    <n v="198"/>
    <x v="61"/>
    <x v="1"/>
    <x v="0"/>
  </r>
  <r>
    <x v="2"/>
    <x v="2"/>
    <n v="39.1"/>
    <n v="18.7"/>
    <n v="181"/>
    <x v="62"/>
    <x v="0"/>
    <x v="1"/>
  </r>
  <r>
    <x v="2"/>
    <x v="0"/>
    <n v="37.6"/>
    <n v="19.100000000000001"/>
    <n v="194"/>
    <x v="62"/>
    <x v="0"/>
    <x v="1"/>
  </r>
  <r>
    <x v="2"/>
    <x v="0"/>
    <n v="38.6"/>
    <n v="17.2"/>
    <n v="199"/>
    <x v="62"/>
    <x v="1"/>
    <x v="1"/>
  </r>
  <r>
    <x v="2"/>
    <x v="1"/>
    <n v="37.799999999999997"/>
    <n v="18.100000000000001"/>
    <n v="193"/>
    <x v="62"/>
    <x v="0"/>
    <x v="1"/>
  </r>
  <r>
    <x v="1"/>
    <x v="1"/>
    <n v="51.3"/>
    <n v="18.2"/>
    <n v="197"/>
    <x v="62"/>
    <x v="0"/>
    <x v="1"/>
  </r>
  <r>
    <x v="2"/>
    <x v="0"/>
    <n v="35"/>
    <n v="17.899999999999999"/>
    <n v="192"/>
    <x v="63"/>
    <x v="1"/>
    <x v="1"/>
  </r>
  <r>
    <x v="2"/>
    <x v="1"/>
    <n v="40.700000000000003"/>
    <n v="17"/>
    <n v="190"/>
    <x v="63"/>
    <x v="0"/>
    <x v="1"/>
  </r>
  <r>
    <x v="1"/>
    <x v="1"/>
    <n v="52.7"/>
    <n v="19.8"/>
    <n v="197"/>
    <x v="63"/>
    <x v="0"/>
    <x v="1"/>
  </r>
  <r>
    <x v="2"/>
    <x v="2"/>
    <n v="37.799999999999997"/>
    <n v="17.3"/>
    <n v="180"/>
    <x v="64"/>
    <x v="2"/>
    <x v="1"/>
  </r>
  <r>
    <x v="2"/>
    <x v="2"/>
    <n v="36.6"/>
    <n v="17.8"/>
    <n v="185"/>
    <x v="64"/>
    <x v="1"/>
    <x v="1"/>
  </r>
  <r>
    <x v="2"/>
    <x v="0"/>
    <n v="41.4"/>
    <n v="18.600000000000001"/>
    <n v="191"/>
    <x v="64"/>
    <x v="0"/>
    <x v="1"/>
  </r>
  <r>
    <x v="2"/>
    <x v="2"/>
    <n v="35.5"/>
    <n v="17.5"/>
    <n v="190"/>
    <x v="64"/>
    <x v="1"/>
    <x v="1"/>
  </r>
  <r>
    <x v="2"/>
    <x v="2"/>
    <n v="40.9"/>
    <n v="16.8"/>
    <n v="191"/>
    <x v="64"/>
    <x v="1"/>
    <x v="1"/>
  </r>
  <r>
    <x v="2"/>
    <x v="1"/>
    <n v="38.1"/>
    <n v="18.600000000000001"/>
    <n v="190"/>
    <x v="64"/>
    <x v="1"/>
    <x v="1"/>
  </r>
  <r>
    <x v="2"/>
    <x v="1"/>
    <n v="36"/>
    <n v="17.100000000000001"/>
    <n v="187"/>
    <x v="64"/>
    <x v="1"/>
    <x v="1"/>
  </r>
  <r>
    <x v="1"/>
    <x v="1"/>
    <n v="51.3"/>
    <n v="19.899999999999999"/>
    <n v="198"/>
    <x v="64"/>
    <x v="0"/>
    <x v="1"/>
  </r>
  <r>
    <x v="1"/>
    <x v="1"/>
    <n v="47"/>
    <n v="17.3"/>
    <n v="185"/>
    <x v="64"/>
    <x v="1"/>
    <x v="1"/>
  </r>
  <r>
    <x v="1"/>
    <x v="1"/>
    <n v="58"/>
    <n v="17.8"/>
    <n v="181"/>
    <x v="64"/>
    <x v="1"/>
    <x v="1"/>
  </r>
  <r>
    <x v="1"/>
    <x v="1"/>
    <n v="46.4"/>
    <n v="17.8"/>
    <n v="191"/>
    <x v="64"/>
    <x v="1"/>
    <x v="1"/>
  </r>
  <r>
    <x v="1"/>
    <x v="1"/>
    <n v="50.9"/>
    <n v="17.899999999999999"/>
    <n v="196"/>
    <x v="65"/>
    <x v="1"/>
    <x v="1"/>
  </r>
  <r>
    <x v="1"/>
    <x v="1"/>
    <n v="49.8"/>
    <n v="17.3"/>
    <n v="198"/>
    <x v="65"/>
    <x v="1"/>
    <x v="1"/>
  </r>
  <r>
    <x v="2"/>
    <x v="2"/>
    <n v="39.299999999999997"/>
    <n v="20.6"/>
    <n v="190"/>
    <x v="66"/>
    <x v="0"/>
    <x v="1"/>
  </r>
  <r>
    <x v="2"/>
    <x v="1"/>
    <n v="39"/>
    <n v="18.7"/>
    <n v="185"/>
    <x v="66"/>
    <x v="0"/>
    <x v="1"/>
  </r>
  <r>
    <x v="1"/>
    <x v="1"/>
    <n v="51.3"/>
    <n v="19.2"/>
    <n v="193"/>
    <x v="66"/>
    <x v="0"/>
    <x v="1"/>
  </r>
  <r>
    <x v="1"/>
    <x v="1"/>
    <n v="46.2"/>
    <n v="17.5"/>
    <n v="187"/>
    <x v="66"/>
    <x v="1"/>
    <x v="1"/>
  </r>
  <r>
    <x v="1"/>
    <x v="1"/>
    <n v="46.8"/>
    <n v="16.5"/>
    <n v="189"/>
    <x v="66"/>
    <x v="1"/>
    <x v="1"/>
  </r>
  <r>
    <x v="1"/>
    <x v="1"/>
    <n v="45.7"/>
    <n v="17"/>
    <n v="195"/>
    <x v="66"/>
    <x v="1"/>
    <x v="1"/>
  </r>
  <r>
    <x v="2"/>
    <x v="2"/>
    <n v="38.9"/>
    <n v="17.8"/>
    <n v="181"/>
    <x v="67"/>
    <x v="1"/>
    <x v="1"/>
  </r>
  <r>
    <x v="2"/>
    <x v="0"/>
    <n v="37.700000000000003"/>
    <n v="18.7"/>
    <n v="180"/>
    <x v="68"/>
    <x v="0"/>
    <x v="1"/>
  </r>
  <r>
    <x v="2"/>
    <x v="0"/>
    <n v="37.6"/>
    <n v="17"/>
    <n v="185"/>
    <x v="68"/>
    <x v="1"/>
    <x v="1"/>
  </r>
  <r>
    <x v="2"/>
    <x v="2"/>
    <n v="33.5"/>
    <n v="19"/>
    <n v="190"/>
    <x v="68"/>
    <x v="1"/>
    <x v="1"/>
  </r>
  <r>
    <x v="2"/>
    <x v="1"/>
    <n v="38.9"/>
    <n v="18.8"/>
    <n v="190"/>
    <x v="68"/>
    <x v="1"/>
    <x v="1"/>
  </r>
  <r>
    <x v="1"/>
    <x v="1"/>
    <n v="42.4"/>
    <n v="17.3"/>
    <n v="181"/>
    <x v="68"/>
    <x v="1"/>
    <x v="1"/>
  </r>
  <r>
    <x v="1"/>
    <x v="1"/>
    <n v="49.7"/>
    <n v="18.600000000000001"/>
    <n v="195"/>
    <x v="68"/>
    <x v="0"/>
    <x v="1"/>
  </r>
  <r>
    <x v="1"/>
    <x v="1"/>
    <n v="45.7"/>
    <n v="17.3"/>
    <n v="193"/>
    <x v="68"/>
    <x v="1"/>
    <x v="1"/>
  </r>
  <r>
    <x v="1"/>
    <x v="1"/>
    <n v="45.9"/>
    <n v="17.100000000000001"/>
    <n v="190"/>
    <x v="69"/>
    <x v="1"/>
    <x v="1"/>
  </r>
  <r>
    <x v="2"/>
    <x v="0"/>
    <n v="40.6"/>
    <n v="18.600000000000001"/>
    <n v="183"/>
    <x v="70"/>
    <x v="0"/>
    <x v="1"/>
  </r>
  <r>
    <x v="2"/>
    <x v="1"/>
    <n v="42.2"/>
    <n v="18.5"/>
    <n v="180"/>
    <x v="70"/>
    <x v="1"/>
    <x v="1"/>
  </r>
  <r>
    <x v="2"/>
    <x v="0"/>
    <n v="39"/>
    <n v="17.5"/>
    <n v="186"/>
    <x v="70"/>
    <x v="1"/>
    <x v="1"/>
  </r>
  <r>
    <x v="2"/>
    <x v="2"/>
    <n v="39.6"/>
    <n v="17.2"/>
    <n v="196"/>
    <x v="70"/>
    <x v="1"/>
    <x v="1"/>
  </r>
  <r>
    <x v="2"/>
    <x v="2"/>
    <n v="36.200000000000003"/>
    <n v="16.100000000000001"/>
    <n v="187"/>
    <x v="70"/>
    <x v="1"/>
    <x v="1"/>
  </r>
  <r>
    <x v="2"/>
    <x v="1"/>
    <n v="41.3"/>
    <n v="20.3"/>
    <n v="194"/>
    <x v="70"/>
    <x v="0"/>
    <x v="1"/>
  </r>
  <r>
    <x v="2"/>
    <x v="1"/>
    <n v="35.700000000000003"/>
    <n v="18"/>
    <n v="202"/>
    <x v="70"/>
    <x v="1"/>
    <x v="1"/>
  </r>
  <r>
    <x v="2"/>
    <x v="0"/>
    <n v="39.700000000000003"/>
    <n v="18.899999999999999"/>
    <n v="184"/>
    <x v="70"/>
    <x v="0"/>
    <x v="1"/>
  </r>
  <r>
    <x v="1"/>
    <x v="1"/>
    <n v="50.9"/>
    <n v="19.100000000000001"/>
    <n v="196"/>
    <x v="70"/>
    <x v="0"/>
    <x v="1"/>
  </r>
  <r>
    <x v="1"/>
    <x v="1"/>
    <n v="45.4"/>
    <n v="18.7"/>
    <n v="188"/>
    <x v="71"/>
    <x v="1"/>
    <x v="1"/>
  </r>
  <r>
    <x v="1"/>
    <x v="1"/>
    <n v="45.6"/>
    <n v="19.399999999999999"/>
    <n v="194"/>
    <x v="71"/>
    <x v="1"/>
    <x v="1"/>
  </r>
  <r>
    <x v="2"/>
    <x v="0"/>
    <n v="39.6"/>
    <n v="17.7"/>
    <n v="186"/>
    <x v="72"/>
    <x v="1"/>
    <x v="1"/>
  </r>
  <r>
    <x v="2"/>
    <x v="1"/>
    <n v="36.9"/>
    <n v="18.600000000000001"/>
    <n v="189"/>
    <x v="72"/>
    <x v="1"/>
    <x v="1"/>
  </r>
  <r>
    <x v="2"/>
    <x v="2"/>
    <n v="37.700000000000003"/>
    <n v="19.8"/>
    <n v="198"/>
    <x v="72"/>
    <x v="0"/>
    <x v="1"/>
  </r>
  <r>
    <x v="2"/>
    <x v="2"/>
    <n v="43.1"/>
    <n v="19.2"/>
    <n v="197"/>
    <x v="72"/>
    <x v="0"/>
    <x v="1"/>
  </r>
  <r>
    <x v="2"/>
    <x v="1"/>
    <n v="36.799999999999997"/>
    <n v="18.5"/>
    <n v="193"/>
    <x v="72"/>
    <x v="1"/>
    <x v="1"/>
  </r>
  <r>
    <x v="1"/>
    <x v="1"/>
    <n v="46.5"/>
    <n v="17.899999999999999"/>
    <n v="192"/>
    <x v="72"/>
    <x v="1"/>
    <x v="1"/>
  </r>
  <r>
    <x v="1"/>
    <x v="1"/>
    <n v="45.5"/>
    <n v="17"/>
    <n v="196"/>
    <x v="72"/>
    <x v="1"/>
    <x v="1"/>
  </r>
  <r>
    <x v="2"/>
    <x v="2"/>
    <n v="34.1"/>
    <n v="18.100000000000001"/>
    <n v="193"/>
    <x v="73"/>
    <x v="2"/>
    <x v="1"/>
  </r>
  <r>
    <x v="2"/>
    <x v="1"/>
    <n v="40.6"/>
    <n v="17.2"/>
    <n v="187"/>
    <x v="73"/>
    <x v="0"/>
    <x v="1"/>
  </r>
  <r>
    <x v="2"/>
    <x v="1"/>
    <n v="36.6"/>
    <n v="18.399999999999999"/>
    <n v="184"/>
    <x v="73"/>
    <x v="1"/>
    <x v="1"/>
  </r>
  <r>
    <x v="2"/>
    <x v="2"/>
    <n v="36.700000000000003"/>
    <n v="19.3"/>
    <n v="193"/>
    <x v="74"/>
    <x v="1"/>
    <x v="1"/>
  </r>
  <r>
    <x v="2"/>
    <x v="2"/>
    <n v="38.700000000000003"/>
    <n v="19"/>
    <n v="195"/>
    <x v="74"/>
    <x v="1"/>
    <x v="1"/>
  </r>
  <r>
    <x v="2"/>
    <x v="1"/>
    <n v="36"/>
    <n v="17.899999999999999"/>
    <n v="190"/>
    <x v="74"/>
    <x v="1"/>
    <x v="1"/>
  </r>
  <r>
    <x v="2"/>
    <x v="0"/>
    <n v="35"/>
    <n v="17.899999999999999"/>
    <n v="190"/>
    <x v="74"/>
    <x v="1"/>
    <x v="1"/>
  </r>
  <r>
    <x v="2"/>
    <x v="2"/>
    <n v="40.200000000000003"/>
    <n v="17"/>
    <n v="176"/>
    <x v="74"/>
    <x v="1"/>
    <x v="1"/>
  </r>
  <r>
    <x v="2"/>
    <x v="1"/>
    <n v="36"/>
    <n v="17.8"/>
    <n v="195"/>
    <x v="74"/>
    <x v="1"/>
    <x v="1"/>
  </r>
  <r>
    <x v="1"/>
    <x v="1"/>
    <n v="46.4"/>
    <n v="18.600000000000001"/>
    <n v="190"/>
    <x v="74"/>
    <x v="1"/>
    <x v="1"/>
  </r>
  <r>
    <x v="1"/>
    <x v="1"/>
    <n v="52.2"/>
    <n v="18.8"/>
    <n v="197"/>
    <x v="74"/>
    <x v="0"/>
    <x v="1"/>
  </r>
  <r>
    <x v="2"/>
    <x v="1"/>
    <n v="41.1"/>
    <n v="19"/>
    <n v="182"/>
    <x v="75"/>
    <x v="0"/>
    <x v="1"/>
  </r>
  <r>
    <x v="2"/>
    <x v="1"/>
    <n v="38.1"/>
    <n v="17.600000000000001"/>
    <n v="187"/>
    <x v="75"/>
    <x v="1"/>
    <x v="1"/>
  </r>
  <r>
    <x v="2"/>
    <x v="0"/>
    <n v="37.799999999999997"/>
    <n v="18.3"/>
    <n v="174"/>
    <x v="76"/>
    <x v="1"/>
    <x v="1"/>
  </r>
  <r>
    <x v="2"/>
    <x v="1"/>
    <n v="34"/>
    <n v="17.100000000000001"/>
    <n v="185"/>
    <x v="76"/>
    <x v="1"/>
    <x v="1"/>
  </r>
  <r>
    <x v="2"/>
    <x v="1"/>
    <n v="37"/>
    <n v="16.5"/>
    <n v="185"/>
    <x v="76"/>
    <x v="1"/>
    <x v="1"/>
  </r>
  <r>
    <x v="2"/>
    <x v="1"/>
    <n v="40.200000000000003"/>
    <n v="17.100000000000001"/>
    <n v="193"/>
    <x v="76"/>
    <x v="1"/>
    <x v="1"/>
  </r>
  <r>
    <x v="1"/>
    <x v="1"/>
    <n v="48.5"/>
    <n v="17.5"/>
    <n v="191"/>
    <x v="76"/>
    <x v="0"/>
    <x v="1"/>
  </r>
  <r>
    <x v="1"/>
    <x v="1"/>
    <n v="50.5"/>
    <n v="18.399999999999999"/>
    <n v="200"/>
    <x v="76"/>
    <x v="1"/>
    <x v="1"/>
  </r>
  <r>
    <x v="1"/>
    <x v="1"/>
    <n v="50.1"/>
    <n v="17.899999999999999"/>
    <n v="190"/>
    <x v="76"/>
    <x v="1"/>
    <x v="1"/>
  </r>
  <r>
    <x v="1"/>
    <x v="1"/>
    <n v="43.5"/>
    <n v="18.100000000000001"/>
    <n v="202"/>
    <x v="76"/>
    <x v="1"/>
    <x v="1"/>
  </r>
  <r>
    <x v="2"/>
    <x v="0"/>
    <n v="35.5"/>
    <n v="16.2"/>
    <n v="195"/>
    <x v="77"/>
    <x v="1"/>
    <x v="1"/>
  </r>
  <r>
    <x v="2"/>
    <x v="1"/>
    <n v="37.299999999999997"/>
    <n v="17.8"/>
    <n v="191"/>
    <x v="77"/>
    <x v="1"/>
    <x v="1"/>
  </r>
  <r>
    <x v="2"/>
    <x v="2"/>
    <n v="35.700000000000003"/>
    <n v="17"/>
    <n v="189"/>
    <x v="77"/>
    <x v="1"/>
    <x v="1"/>
  </r>
  <r>
    <x v="1"/>
    <x v="1"/>
    <n v="42.5"/>
    <n v="16.7"/>
    <n v="187"/>
    <x v="77"/>
    <x v="1"/>
    <x v="1"/>
  </r>
  <r>
    <x v="1"/>
    <x v="1"/>
    <n v="42.5"/>
    <n v="17.3"/>
    <n v="187"/>
    <x v="77"/>
    <x v="1"/>
    <x v="1"/>
  </r>
  <r>
    <x v="2"/>
    <x v="2"/>
    <n v="34.4"/>
    <n v="18.399999999999999"/>
    <n v="184"/>
    <x v="78"/>
    <x v="1"/>
    <x v="1"/>
  </r>
  <r>
    <x v="2"/>
    <x v="1"/>
    <n v="36.4"/>
    <n v="17"/>
    <n v="195"/>
    <x v="78"/>
    <x v="1"/>
    <x v="1"/>
  </r>
  <r>
    <x v="2"/>
    <x v="2"/>
    <n v="41.1"/>
    <n v="18.600000000000001"/>
    <n v="189"/>
    <x v="78"/>
    <x v="0"/>
    <x v="1"/>
  </r>
  <r>
    <x v="2"/>
    <x v="2"/>
    <n v="38.5"/>
    <n v="17.899999999999999"/>
    <n v="190"/>
    <x v="78"/>
    <x v="1"/>
    <x v="1"/>
  </r>
  <r>
    <x v="1"/>
    <x v="1"/>
    <n v="48.1"/>
    <n v="16.399999999999999"/>
    <n v="199"/>
    <x v="78"/>
    <x v="1"/>
    <x v="1"/>
  </r>
  <r>
    <x v="2"/>
    <x v="2"/>
    <n v="37.799999999999997"/>
    <n v="17.100000000000001"/>
    <n v="186"/>
    <x v="79"/>
    <x v="2"/>
    <x v="1"/>
  </r>
  <r>
    <x v="2"/>
    <x v="1"/>
    <n v="39.5"/>
    <n v="17.8"/>
    <n v="188"/>
    <x v="79"/>
    <x v="1"/>
    <x v="1"/>
  </r>
  <r>
    <x v="2"/>
    <x v="1"/>
    <n v="37.6"/>
    <n v="19.3"/>
    <n v="181"/>
    <x v="79"/>
    <x v="1"/>
    <x v="1"/>
  </r>
  <r>
    <x v="2"/>
    <x v="1"/>
    <n v="36.200000000000003"/>
    <n v="17.3"/>
    <n v="187"/>
    <x v="79"/>
    <x v="1"/>
    <x v="1"/>
  </r>
  <r>
    <x v="1"/>
    <x v="1"/>
    <n v="50.3"/>
    <n v="20"/>
    <n v="197"/>
    <x v="79"/>
    <x v="0"/>
    <x v="1"/>
  </r>
  <r>
    <x v="1"/>
    <x v="1"/>
    <n v="46.7"/>
    <n v="17.899999999999999"/>
    <n v="195"/>
    <x v="79"/>
    <x v="1"/>
    <x v="1"/>
  </r>
  <r>
    <x v="2"/>
    <x v="2"/>
    <n v="38.799999999999997"/>
    <n v="17.600000000000001"/>
    <n v="191"/>
    <x v="80"/>
    <x v="1"/>
    <x v="1"/>
  </r>
  <r>
    <x v="2"/>
    <x v="2"/>
    <n v="40.299999999999997"/>
    <n v="18"/>
    <n v="195"/>
    <x v="81"/>
    <x v="1"/>
    <x v="1"/>
  </r>
  <r>
    <x v="2"/>
    <x v="1"/>
    <n v="39.5"/>
    <n v="16.7"/>
    <n v="178"/>
    <x v="81"/>
    <x v="1"/>
    <x v="1"/>
  </r>
  <r>
    <x v="1"/>
    <x v="1"/>
    <n v="46.1"/>
    <n v="18.2"/>
    <n v="178"/>
    <x v="81"/>
    <x v="1"/>
    <x v="1"/>
  </r>
  <r>
    <x v="1"/>
    <x v="1"/>
    <n v="51.5"/>
    <n v="18.7"/>
    <n v="187"/>
    <x v="81"/>
    <x v="0"/>
    <x v="1"/>
  </r>
  <r>
    <x v="1"/>
    <x v="1"/>
    <n v="45.2"/>
    <n v="16.600000000000001"/>
    <n v="191"/>
    <x v="81"/>
    <x v="1"/>
    <x v="1"/>
  </r>
  <r>
    <x v="2"/>
    <x v="2"/>
    <n v="41.1"/>
    <n v="17.600000000000001"/>
    <n v="182"/>
    <x v="82"/>
    <x v="1"/>
    <x v="1"/>
  </r>
  <r>
    <x v="2"/>
    <x v="0"/>
    <n v="40.5"/>
    <n v="17.899999999999999"/>
    <n v="187"/>
    <x v="82"/>
    <x v="1"/>
    <x v="1"/>
  </r>
  <r>
    <x v="2"/>
    <x v="2"/>
    <n v="34.6"/>
    <n v="17.2"/>
    <n v="189"/>
    <x v="82"/>
    <x v="1"/>
    <x v="1"/>
  </r>
  <r>
    <x v="2"/>
    <x v="0"/>
    <n v="39.700000000000003"/>
    <n v="17.7"/>
    <n v="193"/>
    <x v="82"/>
    <x v="1"/>
    <x v="1"/>
  </r>
  <r>
    <x v="1"/>
    <x v="1"/>
    <n v="40.9"/>
    <n v="16.600000000000001"/>
    <n v="187"/>
    <x v="82"/>
    <x v="1"/>
    <x v="1"/>
  </r>
  <r>
    <x v="2"/>
    <x v="0"/>
    <n v="38.1"/>
    <n v="17"/>
    <n v="181"/>
    <x v="83"/>
    <x v="1"/>
    <x v="1"/>
  </r>
  <r>
    <x v="2"/>
    <x v="1"/>
    <n v="35.6"/>
    <n v="17.5"/>
    <n v="191"/>
    <x v="83"/>
    <x v="1"/>
    <x v="1"/>
  </r>
  <r>
    <x v="2"/>
    <x v="0"/>
    <n v="37.9"/>
    <n v="18.600000000000001"/>
    <n v="172"/>
    <x v="84"/>
    <x v="1"/>
    <x v="1"/>
  </r>
  <r>
    <x v="2"/>
    <x v="1"/>
    <n v="36.5"/>
    <n v="18"/>
    <n v="182"/>
    <x v="84"/>
    <x v="1"/>
    <x v="1"/>
  </r>
  <r>
    <x v="2"/>
    <x v="0"/>
    <n v="35.700000000000003"/>
    <n v="16.899999999999999"/>
    <n v="185"/>
    <x v="84"/>
    <x v="1"/>
    <x v="1"/>
  </r>
  <r>
    <x v="2"/>
    <x v="2"/>
    <n v="36.200000000000003"/>
    <n v="17.2"/>
    <n v="187"/>
    <x v="84"/>
    <x v="1"/>
    <x v="1"/>
  </r>
  <r>
    <x v="2"/>
    <x v="1"/>
    <n v="36"/>
    <n v="18.5"/>
    <n v="186"/>
    <x v="85"/>
    <x v="1"/>
    <x v="1"/>
  </r>
  <r>
    <x v="2"/>
    <x v="0"/>
    <n v="37.700000000000003"/>
    <n v="16"/>
    <n v="183"/>
    <x v="86"/>
    <x v="1"/>
    <x v="1"/>
  </r>
  <r>
    <x v="2"/>
    <x v="2"/>
    <n v="35.9"/>
    <n v="16.600000000000001"/>
    <n v="190"/>
    <x v="87"/>
    <x v="1"/>
    <x v="1"/>
  </r>
  <r>
    <x v="2"/>
    <x v="2"/>
    <n v="35.200000000000003"/>
    <n v="15.9"/>
    <n v="186"/>
    <x v="87"/>
    <x v="1"/>
    <x v="1"/>
  </r>
  <r>
    <x v="2"/>
    <x v="2"/>
    <n v="39"/>
    <n v="17.100000000000001"/>
    <n v="191"/>
    <x v="87"/>
    <x v="1"/>
    <x v="1"/>
  </r>
  <r>
    <x v="2"/>
    <x v="1"/>
    <n v="32.1"/>
    <n v="15.5"/>
    <n v="188"/>
    <x v="87"/>
    <x v="1"/>
    <x v="1"/>
  </r>
  <r>
    <x v="2"/>
    <x v="1"/>
    <n v="37"/>
    <n v="16.899999999999999"/>
    <n v="185"/>
    <x v="88"/>
    <x v="1"/>
    <x v="1"/>
  </r>
  <r>
    <x v="2"/>
    <x v="1"/>
    <n v="37.299999999999997"/>
    <n v="16.8"/>
    <n v="192"/>
    <x v="88"/>
    <x v="1"/>
    <x v="1"/>
  </r>
  <r>
    <x v="2"/>
    <x v="1"/>
    <n v="37.5"/>
    <n v="18.899999999999999"/>
    <n v="179"/>
    <x v="89"/>
    <x v="2"/>
    <x v="1"/>
  </r>
  <r>
    <x v="2"/>
    <x v="0"/>
    <n v="37.9"/>
    <n v="18.600000000000001"/>
    <n v="193"/>
    <x v="90"/>
    <x v="1"/>
    <x v="1"/>
  </r>
  <r>
    <x v="2"/>
    <x v="0"/>
    <n v="34.5"/>
    <n v="18.100000000000001"/>
    <n v="187"/>
    <x v="91"/>
    <x v="1"/>
    <x v="1"/>
  </r>
  <r>
    <x v="2"/>
    <x v="1"/>
    <n v="33.1"/>
    <n v="16.100000000000001"/>
    <n v="178"/>
    <x v="91"/>
    <x v="1"/>
    <x v="1"/>
  </r>
  <r>
    <x v="2"/>
    <x v="2"/>
    <n v="38.6"/>
    <n v="17"/>
    <n v="188"/>
    <x v="91"/>
    <x v="1"/>
    <x v="1"/>
  </r>
  <r>
    <x v="1"/>
    <x v="1"/>
    <n v="43.2"/>
    <n v="16.600000000000001"/>
    <n v="187"/>
    <x v="91"/>
    <x v="1"/>
    <x v="1"/>
  </r>
  <r>
    <x v="2"/>
    <x v="0"/>
    <n v="36.5"/>
    <n v="16.600000000000001"/>
    <n v="181"/>
    <x v="92"/>
    <x v="1"/>
    <x v="1"/>
  </r>
  <r>
    <x v="2"/>
    <x v="0"/>
    <n v="36.4"/>
    <n v="17.100000000000001"/>
    <n v="184"/>
    <x v="92"/>
    <x v="1"/>
    <x v="1"/>
  </r>
  <r>
    <x v="1"/>
    <x v="1"/>
    <n v="46.9"/>
    <n v="16.600000000000001"/>
    <n v="192"/>
    <x v="93"/>
    <x v="1"/>
    <x v="1"/>
  </r>
  <r>
    <x v="2"/>
    <x v="2"/>
    <m/>
    <m/>
    <m/>
    <x v="94"/>
    <x v="2"/>
    <x v="1"/>
  </r>
  <r>
    <x v="0"/>
    <x v="0"/>
    <m/>
    <m/>
    <m/>
    <x v="94"/>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B7BCF9-B031-46F5-B33C-22122924F5F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4:I29" firstHeaderRow="1" firstDataRow="2" firstDataCol="1"/>
  <pivotFields count="8">
    <pivotField axis="axisCol" dataField="1" showAll="0">
      <items count="4">
        <item x="2"/>
        <item x="1"/>
        <item x="0"/>
        <item t="default"/>
      </items>
    </pivotField>
    <pivotField axis="axisRow" showAll="0">
      <items count="4">
        <item x="0"/>
        <item x="1"/>
        <item x="2"/>
        <item t="default"/>
      </items>
    </pivotField>
    <pivotField showAll="0"/>
    <pivotField showAll="0"/>
    <pivotField showAll="0"/>
    <pivotField showAll="0"/>
    <pivotField showAll="0">
      <items count="4">
        <item x="1"/>
        <item x="0"/>
        <item x="2"/>
        <item t="default"/>
      </items>
    </pivotField>
    <pivotField showAll="0"/>
  </pivotFields>
  <rowFields count="1">
    <field x="1"/>
  </rowFields>
  <rowItems count="4">
    <i>
      <x/>
    </i>
    <i>
      <x v="1"/>
    </i>
    <i>
      <x v="2"/>
    </i>
    <i t="grand">
      <x/>
    </i>
  </rowItems>
  <colFields count="1">
    <field x="0"/>
  </colFields>
  <colItems count="4">
    <i>
      <x/>
    </i>
    <i>
      <x v="1"/>
    </i>
    <i>
      <x v="2"/>
    </i>
    <i t="grand">
      <x/>
    </i>
  </colItems>
  <dataFields count="1">
    <dataField name="Count of species" fld="0" subtotal="count" showDataAs="percentOfRow" baseField="1" baseItem="0" numFmtId="10"/>
  </dataFields>
  <formats count="4">
    <format dxfId="28">
      <pivotArea collapsedLevelsAreSubtotals="1" fieldPosition="0">
        <references count="2">
          <reference field="0" count="1" selected="0">
            <x v="2"/>
          </reference>
          <reference field="1" count="1">
            <x v="0"/>
          </reference>
        </references>
      </pivotArea>
    </format>
    <format dxfId="27">
      <pivotArea collapsedLevelsAreSubtotals="1" fieldPosition="0">
        <references count="2">
          <reference field="0" count="1" selected="0">
            <x v="0"/>
          </reference>
          <reference field="1" count="1">
            <x v="2"/>
          </reference>
        </references>
      </pivotArea>
    </format>
    <format dxfId="26">
      <pivotArea outline="0" collapsedLevelsAreSubtotals="1" fieldPosition="0">
        <references count="1">
          <reference field="0" count="1" selected="0">
            <x v="0"/>
          </reference>
        </references>
      </pivotArea>
    </format>
    <format dxfId="25">
      <pivotArea outline="0" collapsedLevelsAreSubtotals="1" fieldPosition="0">
        <references count="1">
          <reference field="0"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4B6105-D81A-4490-9CA4-56D6914EB687}"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4:H56" firstHeaderRow="1" firstDataRow="1" firstDataCol="1"/>
  <pivotFields count="8">
    <pivotField showAll="0">
      <items count="4">
        <item x="2"/>
        <item x="1"/>
        <item x="0"/>
        <item t="default"/>
      </items>
    </pivotField>
    <pivotField showAll="0">
      <items count="4">
        <item x="0"/>
        <item x="1"/>
        <item x="2"/>
        <item t="default"/>
      </items>
    </pivotField>
    <pivotField showAll="0"/>
    <pivotField showAll="0"/>
    <pivotField showAll="0"/>
    <pivotField axis="axisRow" dataField="1" showAll="0">
      <items count="96">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94"/>
        <item t="default"/>
      </items>
    </pivotField>
    <pivotField showAll="0">
      <items count="4">
        <item x="1"/>
        <item x="0"/>
        <item x="2"/>
        <item t="default"/>
      </items>
    </pivotField>
    <pivotField showAll="0"/>
  </pivotFields>
  <rowFields count="1">
    <field x="5"/>
  </rowFields>
  <rowItems count="2">
    <i>
      <x v="91"/>
    </i>
    <i t="grand">
      <x/>
    </i>
  </rowItems>
  <colItems count="1">
    <i/>
  </colItems>
  <dataFields count="1">
    <dataField name="Count of body_mass_g" fld="5" subtotal="count" baseField="5" baseItem="0"/>
  </dataFields>
  <pivotTableStyleInfo name="PivotStyleLight16" showRowHeaders="1" showColHeaders="1" showRowStripes="0" showColStripes="0" showLastColumn="1"/>
  <filters count="1">
    <filter fld="5" type="captionBeginsWith" evalOrder="-1" id="11" stringValue1="6000">
      <autoFilter ref="A1">
        <filterColumn colId="0">
          <customFilters>
            <customFilter val="6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ECD97E-2B3D-411C-B0B1-69107A8EEC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8">
    <pivotField axis="axisRow" showAll="0">
      <items count="4">
        <item x="2"/>
        <item x="1"/>
        <item x="0"/>
        <item t="default"/>
      </items>
    </pivotField>
    <pivotField showAll="0">
      <items count="4">
        <item x="0"/>
        <item x="1"/>
        <item x="2"/>
        <item t="default"/>
      </items>
    </pivotField>
    <pivotField showAll="0"/>
    <pivotField showAll="0"/>
    <pivotField showAll="0"/>
    <pivotField dataField="1" showAll="0"/>
    <pivotField showAll="0">
      <items count="4">
        <item x="1"/>
        <item x="0"/>
        <item x="2"/>
        <item t="default"/>
      </items>
    </pivotField>
    <pivotField showAll="0"/>
  </pivotFields>
  <rowFields count="1">
    <field x="0"/>
  </rowFields>
  <rowItems count="4">
    <i>
      <x/>
    </i>
    <i>
      <x v="1"/>
    </i>
    <i>
      <x v="2"/>
    </i>
    <i t="grand">
      <x/>
    </i>
  </rowItems>
  <colItems count="1">
    <i/>
  </colItems>
  <dataFields count="1">
    <dataField name="Max of body_mass_g" fld="5" subtotal="max" baseField="0" baseItem="0"/>
  </dataFields>
  <formats count="1">
    <format dxfId="29">
      <pivotArea collapsedLevelsAreSubtotals="1" fieldPosition="0">
        <references count="1">
          <reference field="0"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407DF6-AD61-4F12-A340-ABA503109A7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A28" firstHeaderRow="1" firstDataRow="1" firstDataCol="1"/>
  <pivotFields count="8">
    <pivotField axis="axisRow" showAll="0">
      <items count="4">
        <item x="2"/>
        <item x="1"/>
        <item x="0"/>
        <item t="default"/>
      </items>
    </pivotField>
    <pivotField showAll="0">
      <items count="4">
        <item x="0"/>
        <item x="1"/>
        <item x="2"/>
        <item t="default"/>
      </items>
    </pivotField>
    <pivotField showAll="0"/>
    <pivotField showAll="0"/>
    <pivotField showAll="0"/>
    <pivotField showAll="0"/>
    <pivotField showAll="0">
      <items count="4">
        <item x="1"/>
        <item x="0"/>
        <item x="2"/>
        <item t="default"/>
      </items>
    </pivotField>
    <pivotField showAll="0"/>
  </pivotFields>
  <rowFields count="1">
    <field x="0"/>
  </rowFields>
  <rowItems count="4">
    <i>
      <x/>
    </i>
    <i>
      <x v="1"/>
    </i>
    <i>
      <x v="2"/>
    </i>
    <i t="grand">
      <x/>
    </i>
  </rowItems>
  <colItems count="1">
    <i/>
  </colItems>
  <formats count="4">
    <format dxfId="33">
      <pivotArea field="0" grandCol="1" collapsedLevelsAreSubtotals="1" axis="axisRow" fieldPosition="0">
        <references count="1">
          <reference field="0" count="1">
            <x v="0"/>
          </reference>
        </references>
      </pivotArea>
    </format>
    <format dxfId="32">
      <pivotArea field="0" grandCol="1" collapsedLevelsAreSubtotals="1" axis="axisRow" fieldPosition="0">
        <references count="1">
          <reference field="0" count="1">
            <x v="1"/>
          </reference>
        </references>
      </pivotArea>
    </format>
    <format dxfId="31">
      <pivotArea field="0" grandCol="1" collapsedLevelsAreSubtotals="1" axis="axisRow" fieldPosition="0">
        <references count="1">
          <reference field="0" count="1">
            <x v="2"/>
          </reference>
        </references>
      </pivotArea>
    </format>
    <format dxfId="30">
      <pivotArea grandRow="1"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4C1186-788F-497C-A272-1A0A0249A40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3:F7" firstHeaderRow="1" firstDataRow="1" firstDataCol="1"/>
  <pivotFields count="8">
    <pivotField axis="axisRow" showAll="0">
      <items count="4">
        <item x="2"/>
        <item x="1"/>
        <item x="0"/>
        <item t="default"/>
      </items>
    </pivotField>
    <pivotField showAll="0">
      <items count="4">
        <item x="0"/>
        <item x="1"/>
        <item x="2"/>
        <item t="default"/>
      </items>
    </pivotField>
    <pivotField showAll="0"/>
    <pivotField showAll="0"/>
    <pivotField showAll="0"/>
    <pivotField dataField="1" showAll="0"/>
    <pivotField showAll="0">
      <items count="4">
        <item x="1"/>
        <item x="0"/>
        <item x="2"/>
        <item t="default"/>
      </items>
    </pivotField>
    <pivotField showAll="0"/>
  </pivotFields>
  <rowFields count="1">
    <field x="0"/>
  </rowFields>
  <rowItems count="4">
    <i>
      <x/>
    </i>
    <i>
      <x v="1"/>
    </i>
    <i>
      <x v="2"/>
    </i>
    <i t="grand">
      <x/>
    </i>
  </rowItems>
  <colItems count="1">
    <i/>
  </colItems>
  <dataFields count="1">
    <dataField name="Average of body_mass_g" fld="5" subtotal="average" baseField="0" baseItem="0"/>
  </dataFields>
  <formats count="5">
    <format dxfId="38">
      <pivotArea collapsedLevelsAreSubtotals="1" fieldPosition="0">
        <references count="1">
          <reference field="0" count="1">
            <x v="0"/>
          </reference>
        </references>
      </pivotArea>
    </format>
    <format dxfId="37">
      <pivotArea collapsedLevelsAreSubtotals="1" fieldPosition="0">
        <references count="1">
          <reference field="0" count="1">
            <x v="1"/>
          </reference>
        </references>
      </pivotArea>
    </format>
    <format dxfId="36">
      <pivotArea collapsedLevelsAreSubtotals="1" fieldPosition="0">
        <references count="1">
          <reference field="0" count="1">
            <x v="2"/>
          </reference>
        </references>
      </pivotArea>
    </format>
    <format dxfId="35">
      <pivotArea grandRow="1" outline="0" collapsedLevelsAreSubtotals="1" fieldPosition="0"/>
    </format>
    <format dxfId="34">
      <pivotArea collapsedLevelsAreSubtotals="1" fieldPosition="0">
        <references count="1">
          <reference field="0" count="1">
            <x v="2"/>
          </reference>
        </references>
      </pivotArea>
    </format>
  </formats>
  <chartFormats count="3">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DDF09D-6B4D-44DC-AF3F-42281F5B0640}"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3:H67" firstHeaderRow="1" firstDataRow="1" firstDataCol="1"/>
  <pivotFields count="8">
    <pivotField axis="axisRow" showAll="0">
      <items count="4">
        <item x="2"/>
        <item x="1"/>
        <item x="0"/>
        <item t="default"/>
      </items>
    </pivotField>
    <pivotField showAll="0"/>
    <pivotField dataField="1" showAll="0"/>
    <pivotField showAll="0"/>
    <pivotField showAll="0"/>
    <pivotField showAll="0"/>
    <pivotField showAll="0">
      <items count="4">
        <item x="1"/>
        <item x="0"/>
        <item x="2"/>
        <item t="default"/>
      </items>
    </pivotField>
    <pivotField showAll="0"/>
  </pivotFields>
  <rowFields count="1">
    <field x="0"/>
  </rowFields>
  <rowItems count="4">
    <i>
      <x/>
    </i>
    <i>
      <x v="1"/>
    </i>
    <i>
      <x v="2"/>
    </i>
    <i t="grand">
      <x/>
    </i>
  </rowItems>
  <colItems count="1">
    <i/>
  </colItems>
  <dataFields count="1">
    <dataField name="Average of culmen_length_mm" fld="2" subtotal="average" baseField="0" baseItem="0" numFmtId="164"/>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D61995-6D1C-4D7C-A7C3-D91164874E3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0:G44" firstHeaderRow="0" firstDataRow="1" firstDataCol="1"/>
  <pivotFields count="8">
    <pivotField axis="axisRow" showAll="0">
      <items count="4">
        <item x="2"/>
        <item x="1"/>
        <item x="0"/>
        <item t="default"/>
      </items>
    </pivotField>
    <pivotField showAll="0">
      <items count="4">
        <item x="0"/>
        <item x="1"/>
        <item x="2"/>
        <item t="default"/>
      </items>
    </pivotField>
    <pivotField showAll="0"/>
    <pivotField showAll="0"/>
    <pivotField dataField="1" showAll="0"/>
    <pivotField showAll="0"/>
    <pivotField showAll="0">
      <items count="4">
        <item x="1"/>
        <item x="0"/>
        <item x="2"/>
        <item t="default"/>
      </items>
    </pivotField>
    <pivotField showAll="0"/>
  </pivotFields>
  <rowFields count="1">
    <field x="0"/>
  </rowFields>
  <rowItems count="4">
    <i>
      <x/>
    </i>
    <i>
      <x v="1"/>
    </i>
    <i>
      <x v="2"/>
    </i>
    <i t="grand">
      <x/>
    </i>
  </rowItems>
  <colFields count="1">
    <field x="-2"/>
  </colFields>
  <colItems count="2">
    <i>
      <x/>
    </i>
    <i i="1">
      <x v="1"/>
    </i>
  </colItems>
  <dataFields count="2">
    <dataField name="Max of flipper_length_mm" fld="4" subtotal="max" baseField="0" baseItem="0"/>
    <dataField name="Min of flipper_length_mm2" fld="4"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F34992-6881-462E-9D1D-F20162778B3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K14" firstHeaderRow="0" firstDataRow="1" firstDataCol="1"/>
  <pivotFields count="8">
    <pivotField axis="axisRow" showAll="0">
      <items count="4">
        <item x="2"/>
        <item x="1"/>
        <item x="0"/>
        <item t="default"/>
      </items>
    </pivotField>
    <pivotField showAll="0">
      <items count="4">
        <item x="0"/>
        <item x="1"/>
        <item x="2"/>
        <item t="default"/>
      </items>
    </pivotField>
    <pivotField showAll="0"/>
    <pivotField showAll="0"/>
    <pivotField showAll="0"/>
    <pivotField dataField="1" showAll="0"/>
    <pivotField showAll="0">
      <items count="4">
        <item x="1"/>
        <item x="0"/>
        <item x="2"/>
        <item t="default"/>
      </items>
    </pivotField>
    <pivotField showAll="0"/>
  </pivotFields>
  <rowFields count="1">
    <field x="0"/>
  </rowFields>
  <rowItems count="4">
    <i>
      <x/>
    </i>
    <i>
      <x v="1"/>
    </i>
    <i>
      <x v="2"/>
    </i>
    <i t="grand">
      <x/>
    </i>
  </rowItems>
  <colFields count="1">
    <field x="-2"/>
  </colFields>
  <colItems count="2">
    <i>
      <x/>
    </i>
    <i i="1">
      <x v="1"/>
    </i>
  </colItems>
  <dataFields count="2">
    <dataField name="Max of body_mass_g" fld="5" subtotal="max" baseField="0" baseItem="0"/>
    <dataField name="Min of body_mass_g2" fld="5"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8A1399-95A4-4225-8C35-5CB2F539A0FB}"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73:M177" firstHeaderRow="1" firstDataRow="1" firstDataCol="1"/>
  <pivotFields count="8">
    <pivotField axis="axisRow" showAll="0">
      <items count="4">
        <item x="2"/>
        <item x="1"/>
        <item x="0"/>
        <item t="default"/>
      </items>
    </pivotField>
    <pivotField showAll="0">
      <items count="4">
        <item x="0"/>
        <item x="1"/>
        <item x="2"/>
        <item t="default"/>
      </items>
    </pivotField>
    <pivotField showAll="0"/>
    <pivotField showAll="0"/>
    <pivotField showAll="0"/>
    <pivotField dataField="1" showAll="0"/>
    <pivotField showAll="0">
      <items count="4">
        <item x="1"/>
        <item x="0"/>
        <item x="2"/>
        <item t="default"/>
      </items>
    </pivotField>
    <pivotField showAll="0"/>
  </pivotFields>
  <rowFields count="1">
    <field x="0"/>
  </rowFields>
  <rowItems count="4">
    <i>
      <x/>
    </i>
    <i>
      <x v="1"/>
    </i>
    <i>
      <x v="2"/>
    </i>
    <i t="grand">
      <x/>
    </i>
  </rowItems>
  <colItems count="1">
    <i/>
  </colItems>
  <dataFields count="1">
    <dataField name="Average of body_mass_g" fld="5" subtotal="average"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67882D-ED38-47BC-8119-8630BC140634}"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6:B80" firstHeaderRow="1" firstDataRow="1" firstDataCol="1"/>
  <pivotFields count="8">
    <pivotField showAll="0">
      <items count="4">
        <item x="2"/>
        <item x="1"/>
        <item x="0"/>
        <item t="default"/>
      </items>
    </pivotField>
    <pivotField showAll="0">
      <items count="4">
        <item x="0"/>
        <item x="1"/>
        <item x="2"/>
        <item t="default"/>
      </items>
    </pivotField>
    <pivotField dataField="1" showAll="0"/>
    <pivotField showAll="0"/>
    <pivotField showAll="0"/>
    <pivotField showAll="0"/>
    <pivotField axis="axisRow" showAll="0">
      <items count="4">
        <item x="1"/>
        <item x="0"/>
        <item x="2"/>
        <item t="default"/>
      </items>
    </pivotField>
    <pivotField showAll="0"/>
  </pivotFields>
  <rowFields count="1">
    <field x="6"/>
  </rowFields>
  <rowItems count="4">
    <i>
      <x/>
    </i>
    <i>
      <x v="1"/>
    </i>
    <i>
      <x v="2"/>
    </i>
    <i t="grand">
      <x/>
    </i>
  </rowItems>
  <colItems count="1">
    <i/>
  </colItems>
  <dataFields count="1">
    <dataField name="Average of culmen_length_mm" fld="2"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307127-2073-43A3-8651-895C0E909851}"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121:J125" firstHeaderRow="1" firstDataRow="1" firstDataCol="1"/>
  <pivotFields count="8">
    <pivotField dataField="1" showAll="0"/>
    <pivotField axis="axisRow" showAll="0">
      <items count="4">
        <item x="0"/>
        <item x="1"/>
        <item x="2"/>
        <item t="default"/>
      </items>
    </pivotField>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Count of species" fld="0" subtotal="count" showDataAs="percentOfTotal" baseField="1" baseItem="0" numFmtId="10"/>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0"/>
          </reference>
        </references>
      </pivotArea>
    </chartFormat>
    <chartFormat chart="8" format="7">
      <pivotArea type="data" outline="0" fieldPosition="0">
        <references count="2">
          <reference field="4294967294" count="1" selected="0">
            <x v="0"/>
          </reference>
          <reference field="1" count="1" selected="0">
            <x v="1"/>
          </reference>
        </references>
      </pivotArea>
    </chartFormat>
    <chartFormat chart="8"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C9766DB-C5C7-4E35-AD6C-33F63C25AED8}"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E66" firstHeaderRow="0" firstDataRow="1" firstDataCol="1"/>
  <pivotFields count="8">
    <pivotField axis="axisRow" showAll="0">
      <items count="4">
        <item x="2"/>
        <item x="1"/>
        <item x="0"/>
        <item t="default"/>
      </items>
    </pivotField>
    <pivotField showAll="0">
      <items count="4">
        <item x="0"/>
        <item x="1"/>
        <item x="2"/>
        <item t="default"/>
      </items>
    </pivotField>
    <pivotField dataField="1" showAll="0"/>
    <pivotField dataField="1" showAll="0"/>
    <pivotField dataField="1" showAll="0"/>
    <pivotField dataField="1" showAll="0"/>
    <pivotField showAll="0">
      <items count="4">
        <item x="1"/>
        <item x="0"/>
        <item x="2"/>
        <item t="default"/>
      </items>
    </pivotField>
    <pivotField showAll="0"/>
  </pivotFields>
  <rowFields count="1">
    <field x="0"/>
  </rowFields>
  <rowItems count="4">
    <i>
      <x/>
    </i>
    <i>
      <x v="1"/>
    </i>
    <i>
      <x v="2"/>
    </i>
    <i t="grand">
      <x/>
    </i>
  </rowItems>
  <colFields count="1">
    <field x="-2"/>
  </colFields>
  <colItems count="4">
    <i>
      <x/>
    </i>
    <i i="1">
      <x v="1"/>
    </i>
    <i i="2">
      <x v="2"/>
    </i>
    <i i="3">
      <x v="3"/>
    </i>
  </colItems>
  <dataFields count="4">
    <dataField name="Average of culmen_length_mm" fld="2" subtotal="average" baseField="0" baseItem="0"/>
    <dataField name="Average of culmen_depth_mm" fld="3" subtotal="average" baseField="0" baseItem="0"/>
    <dataField name="Average of flipper_length_mm" fld="4" subtotal="average" baseField="0" baseItem="0"/>
    <dataField name="Average of body_mass_g"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6E82896-3439-40BF-8D2A-807768EC07D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E37" firstHeaderRow="1" firstDataRow="2" firstDataCol="1"/>
  <pivotFields count="8">
    <pivotField axis="axisRow" showAll="0">
      <items count="4">
        <item x="2"/>
        <item x="1"/>
        <item x="0"/>
        <item t="default"/>
      </items>
    </pivotField>
    <pivotField showAll="0">
      <items count="4">
        <item x="0"/>
        <item x="1"/>
        <item x="2"/>
        <item t="default"/>
      </items>
    </pivotField>
    <pivotField showAll="0"/>
    <pivotField showAll="0"/>
    <pivotField showAll="0"/>
    <pivotField showAll="0"/>
    <pivotField axis="axisCol" dataField="1" showAll="0">
      <items count="4">
        <item x="1"/>
        <item x="0"/>
        <item x="2"/>
        <item t="default"/>
      </items>
    </pivotField>
    <pivotField showAll="0"/>
  </pivotFields>
  <rowFields count="1">
    <field x="0"/>
  </rowFields>
  <rowItems count="4">
    <i>
      <x/>
    </i>
    <i>
      <x v="1"/>
    </i>
    <i>
      <x v="2"/>
    </i>
    <i t="grand">
      <x/>
    </i>
  </rowItems>
  <colFields count="1">
    <field x="6"/>
  </colFields>
  <colItems count="4">
    <i>
      <x/>
    </i>
    <i>
      <x v="1"/>
    </i>
    <i>
      <x v="2"/>
    </i>
    <i t="grand">
      <x/>
    </i>
  </colItems>
  <dataFields count="1">
    <dataField name="Count of sex" fld="6" subtotal="count" baseField="0" baseItem="0"/>
  </dataFields>
  <formats count="3">
    <format dxfId="42">
      <pivotArea outline="0" collapsedLevelsAreSubtotals="1" fieldPosition="0">
        <references count="1">
          <reference field="6" count="1" selected="0">
            <x v="0"/>
          </reference>
        </references>
      </pivotArea>
    </format>
    <format dxfId="41">
      <pivotArea outline="0" collapsedLevelsAreSubtotals="1" fieldPosition="0">
        <references count="1">
          <reference field="6" count="1" selected="0">
            <x v="1"/>
          </reference>
        </references>
      </pivotArea>
    </format>
    <format dxfId="40">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7502F9C-D0F9-4AD7-A8EE-D977F5D1F2D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C45" firstHeaderRow="1" firstDataRow="2" firstDataCol="1"/>
  <pivotFields count="8">
    <pivotField showAll="0">
      <items count="4">
        <item x="2"/>
        <item x="1"/>
        <item x="0"/>
        <item t="default"/>
      </items>
    </pivotField>
    <pivotField axis="axisRow" showAll="0">
      <items count="4">
        <item x="0"/>
        <item x="1"/>
        <item x="2"/>
        <item t="default"/>
      </items>
    </pivotField>
    <pivotField showAll="0"/>
    <pivotField showAll="0"/>
    <pivotField showAll="0"/>
    <pivotField dataField="1" showAll="0"/>
    <pivotField axis="axisCol" showAll="0">
      <items count="4">
        <item h="1" x="1"/>
        <item x="0"/>
        <item h="1" x="2"/>
        <item t="default"/>
      </items>
    </pivotField>
    <pivotField showAll="0"/>
  </pivotFields>
  <rowFields count="1">
    <field x="1"/>
  </rowFields>
  <rowItems count="4">
    <i>
      <x/>
    </i>
    <i>
      <x v="1"/>
    </i>
    <i>
      <x v="2"/>
    </i>
    <i t="grand">
      <x/>
    </i>
  </rowItems>
  <colFields count="1">
    <field x="6"/>
  </colFields>
  <colItems count="2">
    <i>
      <x v="1"/>
    </i>
    <i t="grand">
      <x/>
    </i>
  </colItems>
  <dataFields count="1">
    <dataField name="Average of body_mass_g" fld="5" subtotal="average" baseField="1" baseItem="0"/>
  </dataFields>
  <formats count="1">
    <format dxfId="43">
      <pivotArea collapsedLevelsAreSubtotals="1" fieldPosition="0">
        <references count="2">
          <reference field="1" count="1">
            <x v="0"/>
          </reference>
          <reference field="6"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2EA3907-CD64-436C-9C61-1638AB8A2C26}"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L78:P83" firstHeaderRow="1" firstDataRow="2" firstDataCol="1"/>
  <pivotFields count="8">
    <pivotField axis="axisRow" showAll="0">
      <items count="4">
        <item x="2"/>
        <item x="1"/>
        <item x="0"/>
        <item t="default"/>
      </items>
    </pivotField>
    <pivotField showAll="0">
      <items count="4">
        <item x="0"/>
        <item x="1"/>
        <item x="2"/>
        <item t="default"/>
      </items>
    </pivotField>
    <pivotField showAll="0"/>
    <pivotField showAll="0"/>
    <pivotField showAll="0"/>
    <pivotField showAll="0"/>
    <pivotField axis="axisCol" dataField="1" showAll="0">
      <items count="4">
        <item x="1"/>
        <item x="0"/>
        <item x="2"/>
        <item t="default"/>
      </items>
    </pivotField>
    <pivotField showAll="0"/>
  </pivotFields>
  <rowFields count="1">
    <field x="0"/>
  </rowFields>
  <rowItems count="4">
    <i>
      <x/>
    </i>
    <i>
      <x v="1"/>
    </i>
    <i>
      <x v="2"/>
    </i>
    <i t="grand">
      <x/>
    </i>
  </rowItems>
  <colFields count="1">
    <field x="6"/>
  </colFields>
  <colItems count="4">
    <i>
      <x/>
    </i>
    <i>
      <x v="1"/>
    </i>
    <i>
      <x v="2"/>
    </i>
    <i t="grand">
      <x/>
    </i>
  </colItems>
  <dataFields count="1">
    <dataField name="Count of sex" fld="6" subtotal="count" baseField="0" baseItem="0"/>
  </dataFields>
  <chartFormats count="8">
    <chartFormat chart="14" format="0" series="1">
      <pivotArea type="data" outline="0" fieldPosition="0">
        <references count="2">
          <reference field="4294967294" count="1" selected="0">
            <x v="0"/>
          </reference>
          <reference field="6" count="1" selected="0">
            <x v="0"/>
          </reference>
        </references>
      </pivotArea>
    </chartFormat>
    <chartFormat chart="14" format="1" series="1">
      <pivotArea type="data" outline="0" fieldPosition="0">
        <references count="2">
          <reference field="4294967294" count="1" selected="0">
            <x v="0"/>
          </reference>
          <reference field="6" count="1" selected="0">
            <x v="1"/>
          </reference>
        </references>
      </pivotArea>
    </chartFormat>
    <chartFormat chart="14" format="2" series="1">
      <pivotArea type="data" outline="0" fieldPosition="0">
        <references count="2">
          <reference field="4294967294" count="1" selected="0">
            <x v="0"/>
          </reference>
          <reference field="6" count="1" selected="0">
            <x v="2"/>
          </reference>
        </references>
      </pivotArea>
    </chartFormat>
    <chartFormat chart="14" format="3" series="1">
      <pivotArea type="data" outline="0" fieldPosition="0">
        <references count="1">
          <reference field="4294967294" count="1" selected="0">
            <x v="0"/>
          </reference>
        </references>
      </pivotArea>
    </chartFormat>
    <chartFormat chart="26" format="7" series="1">
      <pivotArea type="data" outline="0" fieldPosition="0">
        <references count="2">
          <reference field="4294967294" count="1" selected="0">
            <x v="0"/>
          </reference>
          <reference field="6" count="1" selected="0">
            <x v="0"/>
          </reference>
        </references>
      </pivotArea>
    </chartFormat>
    <chartFormat chart="26" format="8" series="1">
      <pivotArea type="data" outline="0" fieldPosition="0">
        <references count="2">
          <reference field="4294967294" count="1" selected="0">
            <x v="0"/>
          </reference>
          <reference field="6" count="1" selected="0">
            <x v="1"/>
          </reference>
        </references>
      </pivotArea>
    </chartFormat>
    <chartFormat chart="26" format="9" series="1">
      <pivotArea type="data" outline="0" fieldPosition="0">
        <references count="2">
          <reference field="4294967294" count="1" selected="0">
            <x v="0"/>
          </reference>
          <reference field="6" count="1" selected="0">
            <x v="2"/>
          </reference>
        </references>
      </pivotArea>
    </chartFormat>
    <chartFormat chart="26"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F804C89-9472-41DE-8F80-58049488B4E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7:F21" firstHeaderRow="1" firstDataRow="1" firstDataCol="1"/>
  <pivotFields count="8">
    <pivotField axis="axisRow" showAll="0">
      <items count="4">
        <item x="2"/>
        <item x="1"/>
        <item x="0"/>
        <item t="default"/>
      </items>
    </pivotField>
    <pivotField showAll="0">
      <items count="4">
        <item x="0"/>
        <item x="1"/>
        <item x="2"/>
        <item t="default"/>
      </items>
    </pivotField>
    <pivotField dataField="1" showAll="0"/>
    <pivotField showAll="0"/>
    <pivotField showAll="0"/>
    <pivotField showAll="0"/>
    <pivotField showAll="0">
      <items count="4">
        <item x="1"/>
        <item x="0"/>
        <item x="2"/>
        <item t="default"/>
      </items>
    </pivotField>
    <pivotField showAll="0"/>
  </pivotFields>
  <rowFields count="1">
    <field x="0"/>
  </rowFields>
  <rowItems count="4">
    <i>
      <x/>
    </i>
    <i>
      <x v="1"/>
    </i>
    <i>
      <x v="2"/>
    </i>
    <i t="grand">
      <x/>
    </i>
  </rowItems>
  <colItems count="1">
    <i/>
  </colItems>
  <dataFields count="1">
    <dataField name="Average of culmen_length_mm" fld="2" subtotal="average" baseField="0" baseItem="0"/>
  </dataFields>
  <formats count="6">
    <format dxfId="49">
      <pivotArea collapsedLevelsAreSubtotals="1" fieldPosition="0">
        <references count="1">
          <reference field="0" count="1">
            <x v="0"/>
          </reference>
        </references>
      </pivotArea>
    </format>
    <format dxfId="48">
      <pivotArea collapsedLevelsAreSubtotals="1" fieldPosition="0">
        <references count="1">
          <reference field="0" count="1">
            <x v="1"/>
          </reference>
        </references>
      </pivotArea>
    </format>
    <format dxfId="47">
      <pivotArea collapsedLevelsAreSubtotals="1" fieldPosition="0">
        <references count="1">
          <reference field="0" count="1">
            <x v="2"/>
          </reference>
        </references>
      </pivotArea>
    </format>
    <format dxfId="46">
      <pivotArea grandRow="1" outline="0" collapsedLevelsAreSubtotals="1" fieldPosition="0"/>
    </format>
    <format dxfId="45">
      <pivotArea collapsedLevelsAreSubtotals="1" fieldPosition="0">
        <references count="1">
          <reference field="0" count="1">
            <x v="1"/>
          </reference>
        </references>
      </pivotArea>
    </format>
    <format dxfId="44">
      <pivotArea collapsedLevelsAreSubtotals="1" fieldPosition="0">
        <references count="1">
          <reference field="0"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78FC584-A340-4729-AEDF-6ACAF32921F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C21" firstHeaderRow="0" firstDataRow="1" firstDataCol="1"/>
  <pivotFields count="8">
    <pivotField axis="axisRow" showAll="0">
      <items count="4">
        <item x="2"/>
        <item x="1"/>
        <item x="0"/>
        <item t="default"/>
      </items>
    </pivotField>
    <pivotField showAll="0">
      <items count="4">
        <item x="0"/>
        <item x="1"/>
        <item x="2"/>
        <item t="default"/>
      </items>
    </pivotField>
    <pivotField showAll="0"/>
    <pivotField showAll="0"/>
    <pivotField dataField="1" showAll="0"/>
    <pivotField dataField="1" showAll="0"/>
    <pivotField showAll="0">
      <items count="4">
        <item x="1"/>
        <item x="0"/>
        <item x="2"/>
        <item t="default"/>
      </items>
    </pivotField>
    <pivotField showAll="0"/>
  </pivotFields>
  <rowFields count="1">
    <field x="0"/>
  </rowFields>
  <rowItems count="4">
    <i>
      <x/>
    </i>
    <i>
      <x v="1"/>
    </i>
    <i>
      <x v="2"/>
    </i>
    <i t="grand">
      <x/>
    </i>
  </rowItems>
  <colFields count="1">
    <field x="-2"/>
  </colFields>
  <colItems count="2">
    <i>
      <x/>
    </i>
    <i i="1">
      <x v="1"/>
    </i>
  </colItems>
  <dataFields count="2">
    <dataField name="Average of body_mass_g" fld="5" subtotal="average" baseField="0" baseItem="0"/>
    <dataField name="Average of flipper_length_mm"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E4DD85B-A013-49C6-A639-B0591819514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75:I79" firstHeaderRow="0" firstDataRow="1" firstDataCol="1"/>
  <pivotFields count="8">
    <pivotField axis="axisRow" showAll="0">
      <items count="4">
        <item x="2"/>
        <item x="1"/>
        <item x="0"/>
        <item t="default"/>
      </items>
    </pivotField>
    <pivotField showAll="0"/>
    <pivotField dataField="1" showAll="0"/>
    <pivotField dataField="1" showAll="0"/>
    <pivotField showAll="0"/>
    <pivotField showAll="0"/>
    <pivotField showAll="0"/>
    <pivotField showAll="0"/>
  </pivotFields>
  <rowFields count="1">
    <field x="0"/>
  </rowFields>
  <rowItems count="4">
    <i>
      <x/>
    </i>
    <i>
      <x v="1"/>
    </i>
    <i>
      <x v="2"/>
    </i>
    <i t="grand">
      <x/>
    </i>
  </rowItems>
  <colFields count="1">
    <field x="-2"/>
  </colFields>
  <colItems count="2">
    <i>
      <x/>
    </i>
    <i i="1">
      <x v="1"/>
    </i>
  </colItems>
  <dataFields count="2">
    <dataField name="Average of culmen_length_mm" fld="2" subtotal="average" baseField="0" baseItem="0"/>
    <dataField name="Average of culmen_depth_mm" fld="3" subtotal="average"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87B58A6-71B6-4CE7-9FD1-AC6585D1B591}"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L56:M60" firstHeaderRow="1" firstDataRow="1" firstDataCol="1"/>
  <pivotFields count="8">
    <pivotField showAll="0">
      <items count="4">
        <item x="2"/>
        <item x="1"/>
        <item x="0"/>
        <item t="default"/>
      </items>
    </pivotField>
    <pivotField axis="axisRow" showAll="0">
      <items count="4">
        <item x="0"/>
        <item x="1"/>
        <item x="2"/>
        <item t="default"/>
      </items>
    </pivotField>
    <pivotField showAll="0"/>
    <pivotField showAll="0"/>
    <pivotField dataField="1" showAll="0"/>
    <pivotField showAll="0"/>
    <pivotField showAll="0">
      <items count="4">
        <item x="1"/>
        <item x="0"/>
        <item x="2"/>
        <item t="default"/>
      </items>
    </pivotField>
    <pivotField showAll="0"/>
  </pivotFields>
  <rowFields count="1">
    <field x="1"/>
  </rowFields>
  <rowItems count="4">
    <i>
      <x/>
    </i>
    <i>
      <x v="1"/>
    </i>
    <i>
      <x v="2"/>
    </i>
    <i t="grand">
      <x/>
    </i>
  </rowItems>
  <colItems count="1">
    <i/>
  </colItems>
  <dataFields count="1">
    <dataField name="Average of flipper_length_mm" fld="4" subtotal="average" baseField="1" baseItem="0"/>
  </dataFields>
  <chartFormats count="4">
    <chartFormat chart="1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2E54B0A-8F49-4CA9-8A0E-671BBEB10DF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2:J37" firstHeaderRow="1" firstDataRow="2" firstDataCol="1"/>
  <pivotFields count="8">
    <pivotField axis="axisRow" showAll="0">
      <items count="4">
        <item x="2"/>
        <item x="1"/>
        <item x="0"/>
        <item t="default"/>
      </items>
    </pivotField>
    <pivotField axis="axisCol" showAll="0">
      <items count="4">
        <item x="0"/>
        <item x="1"/>
        <item x="2"/>
        <item t="default"/>
      </items>
    </pivotField>
    <pivotField showAll="0"/>
    <pivotField showAll="0"/>
    <pivotField showAll="0"/>
    <pivotField dataField="1" showAll="0"/>
    <pivotField showAll="0">
      <items count="4">
        <item x="1"/>
        <item x="0"/>
        <item x="2"/>
        <item t="default"/>
      </items>
    </pivotField>
    <pivotField showAll="0"/>
  </pivotFields>
  <rowFields count="1">
    <field x="0"/>
  </rowFields>
  <rowItems count="4">
    <i>
      <x/>
    </i>
    <i>
      <x v="1"/>
    </i>
    <i>
      <x v="2"/>
    </i>
    <i t="grand">
      <x/>
    </i>
  </rowItems>
  <colFields count="1">
    <field x="1"/>
  </colFields>
  <colItems count="4">
    <i>
      <x/>
    </i>
    <i>
      <x v="1"/>
    </i>
    <i>
      <x v="2"/>
    </i>
    <i t="grand">
      <x/>
    </i>
  </colItems>
  <dataFields count="1">
    <dataField name="Average of body_mass_g" fld="5" subtotal="average" baseField="0" baseItem="0"/>
  </dataFields>
  <formats count="1">
    <format dxfId="50">
      <pivotArea outline="0" collapsedLevelsAreSubtotals="1" fieldPosition="0">
        <references count="1">
          <reference field="1"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33AA554-9CAA-42AD-BFE7-5483B70001C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7:J21" firstHeaderRow="1" firstDataRow="1" firstDataCol="1"/>
  <pivotFields count="8">
    <pivotField axis="axisRow" showAll="0">
      <items count="4">
        <item x="2"/>
        <item x="1"/>
        <item x="0"/>
        <item t="default"/>
      </items>
    </pivotField>
    <pivotField showAll="0">
      <items count="4">
        <item x="0"/>
        <item x="1"/>
        <item x="2"/>
        <item t="default"/>
      </items>
    </pivotField>
    <pivotField showAll="0"/>
    <pivotField showAll="0"/>
    <pivotField showAll="0"/>
    <pivotField dataField="1" showAll="0"/>
    <pivotField showAll="0">
      <items count="4">
        <item x="1"/>
        <item x="0"/>
        <item x="2"/>
        <item t="default"/>
      </items>
    </pivotField>
    <pivotField showAll="0"/>
  </pivotFields>
  <rowFields count="1">
    <field x="0"/>
  </rowFields>
  <rowItems count="4">
    <i>
      <x/>
    </i>
    <i>
      <x v="1"/>
    </i>
    <i>
      <x v="2"/>
    </i>
    <i t="grand">
      <x/>
    </i>
  </rowItems>
  <colItems count="1">
    <i/>
  </colItems>
  <dataFields count="1">
    <dataField name="Count of body_mass_g"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F340B94-9B35-4424-BBA8-9B0C682084DD}"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4:C59" firstHeaderRow="1" firstDataRow="2" firstDataCol="1"/>
  <pivotFields count="8">
    <pivotField axis="axisRow" showAll="0">
      <items count="4">
        <item x="2"/>
        <item x="1"/>
        <item x="0"/>
        <item t="default"/>
      </items>
    </pivotField>
    <pivotField showAll="0">
      <items count="4">
        <item x="0"/>
        <item x="1"/>
        <item x="2"/>
        <item t="default"/>
      </items>
    </pivotField>
    <pivotField showAll="0"/>
    <pivotField showAll="0"/>
    <pivotField showAll="0"/>
    <pivotField showAll="0"/>
    <pivotField showAll="0">
      <items count="4">
        <item x="1"/>
        <item x="0"/>
        <item x="2"/>
        <item t="default"/>
      </items>
    </pivotField>
    <pivotField axis="axisCol" dataField="1" showAll="0">
      <items count="3">
        <item h="1" x="1"/>
        <item x="0"/>
        <item t="default"/>
      </items>
    </pivotField>
  </pivotFields>
  <rowFields count="1">
    <field x="0"/>
  </rowFields>
  <rowItems count="4">
    <i>
      <x/>
    </i>
    <i>
      <x v="1"/>
    </i>
    <i>
      <x v="2"/>
    </i>
    <i t="grand">
      <x/>
    </i>
  </rowItems>
  <colFields count="1">
    <field x="7"/>
  </colFields>
  <colItems count="2">
    <i>
      <x v="1"/>
    </i>
    <i t="grand">
      <x/>
    </i>
  </colItems>
  <dataFields count="1">
    <dataField name="Count of  Avg body mass  abv midpoint" fld="7" subtotal="count" baseField="0" baseItem="0"/>
  </dataFields>
  <formats count="1">
    <format dxfId="51">
      <pivotArea outline="0" collapsedLevelsAreSubtotals="1" fieldPosition="0">
        <references count="1">
          <reference field="7"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F5B3BA9-AE97-484F-9ACF-C59958E2B819}"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9:B73" firstHeaderRow="1" firstDataRow="1" firstDataCol="1"/>
  <pivotFields count="8">
    <pivotField axis="axisRow" dataField="1" showAll="0">
      <items count="4">
        <item x="2"/>
        <item x="1"/>
        <item x="0"/>
        <item t="default"/>
      </items>
    </pivotField>
    <pivotField showAll="0">
      <items count="4">
        <item x="0"/>
        <item x="1"/>
        <item x="2"/>
        <item t="default"/>
      </items>
    </pivotField>
    <pivotField showAll="0"/>
    <pivotField showAll="0"/>
    <pivotField showAll="0"/>
    <pivotField showAll="0"/>
    <pivotField showAll="0">
      <items count="4">
        <item x="1"/>
        <item x="0"/>
        <item x="2"/>
        <item t="default"/>
      </items>
    </pivotField>
    <pivotField showAll="0"/>
  </pivotFields>
  <rowFields count="1">
    <field x="0"/>
  </rowFields>
  <rowItems count="4">
    <i>
      <x/>
    </i>
    <i>
      <x v="1"/>
    </i>
    <i>
      <x v="2"/>
    </i>
    <i t="grand">
      <x/>
    </i>
  </rowItems>
  <colItems count="1">
    <i/>
  </colItems>
  <dataFields count="1">
    <dataField name="Count of speci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39DEED7-5BAB-453D-8BA1-282627906CB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10:F14" firstHeaderRow="1" firstDataRow="1" firstDataCol="1"/>
  <pivotFields count="8">
    <pivotField axis="axisRow" dataField="1" showAll="0">
      <items count="4">
        <item x="2"/>
        <item x="1"/>
        <item x="0"/>
        <item t="default"/>
      </items>
    </pivotField>
    <pivotField showAll="0">
      <items count="4">
        <item x="0"/>
        <item x="1"/>
        <item x="2"/>
        <item t="default"/>
      </items>
    </pivotField>
    <pivotField showAll="0"/>
    <pivotField showAll="0"/>
    <pivotField showAll="0"/>
    <pivotField showAll="0"/>
    <pivotField showAll="0">
      <items count="4">
        <item x="1"/>
        <item x="0"/>
        <item x="2"/>
        <item t="default"/>
      </items>
    </pivotField>
    <pivotField showAll="0"/>
  </pivotFields>
  <rowFields count="1">
    <field x="0"/>
  </rowFields>
  <rowItems count="4">
    <i>
      <x/>
    </i>
    <i>
      <x v="1"/>
    </i>
    <i>
      <x v="2"/>
    </i>
    <i t="grand">
      <x/>
    </i>
  </rowItems>
  <colItems count="1">
    <i/>
  </colItems>
  <dataFields count="1">
    <dataField name="Count of species" fld="0" subtotal="count" showDataAs="percentOfTotal" baseField="0" baseItem="0" numFmtId="10"/>
  </dataFields>
  <formats count="1">
    <format dxfId="52">
      <pivotArea collapsedLevelsAreSubtotals="1" fieldPosition="0">
        <references count="1">
          <reference field="0" count="1">
            <x v="0"/>
          </reference>
        </references>
      </pivotArea>
    </format>
  </formats>
  <chartFormats count="5">
    <chartFormat chart="13"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0" count="1" selected="0">
            <x v="0"/>
          </reference>
        </references>
      </pivotArea>
    </chartFormat>
    <chartFormat chart="16" format="7">
      <pivotArea type="data" outline="0" fieldPosition="0">
        <references count="2">
          <reference field="4294967294" count="1" selected="0">
            <x v="0"/>
          </reference>
          <reference field="0" count="1" selected="0">
            <x v="1"/>
          </reference>
        </references>
      </pivotArea>
    </chartFormat>
    <chartFormat chart="16" format="8">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5ADB1DD-F47A-4C42-83C3-3A07C2188A4C}"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L32:M36" firstHeaderRow="1" firstDataRow="1" firstDataCol="1"/>
  <pivotFields count="8">
    <pivotField axis="axisRow" showAll="0">
      <items count="4">
        <item x="2"/>
        <item x="1"/>
        <item x="0"/>
        <item t="default"/>
      </items>
    </pivotField>
    <pivotField showAll="0">
      <items count="4">
        <item x="0"/>
        <item x="1"/>
        <item x="2"/>
        <item t="default"/>
      </items>
    </pivotField>
    <pivotField showAll="0"/>
    <pivotField showAll="0"/>
    <pivotField showAll="0"/>
    <pivotField dataField="1" showAll="0"/>
    <pivotField showAll="0">
      <items count="4">
        <item x="1"/>
        <item x="0"/>
        <item x="2"/>
        <item t="default"/>
      </items>
    </pivotField>
    <pivotField showAll="0"/>
  </pivotFields>
  <rowFields count="1">
    <field x="0"/>
  </rowFields>
  <rowItems count="4">
    <i>
      <x/>
    </i>
    <i>
      <x v="1"/>
    </i>
    <i>
      <x v="2"/>
    </i>
    <i t="grand">
      <x/>
    </i>
  </rowItems>
  <colItems count="1">
    <i/>
  </colItems>
  <dataFields count="1">
    <dataField name="Average of body_mass_g" fld="5" subtotal="average" baseField="0" baseItem="0"/>
  </dataFields>
  <chartFormats count="1">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4C6A40F-8E54-4953-BC33-869913C3A4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M7" firstHeaderRow="1" firstDataRow="2" firstDataCol="1"/>
  <pivotFields count="8">
    <pivotField axis="axisRow" showAll="0">
      <items count="4">
        <item x="2"/>
        <item x="1"/>
        <item x="0"/>
        <item t="default"/>
      </items>
    </pivotField>
    <pivotField showAll="0">
      <items count="4">
        <item x="0"/>
        <item x="1"/>
        <item x="2"/>
        <item t="default"/>
      </items>
    </pivotField>
    <pivotField showAll="0"/>
    <pivotField showAll="0"/>
    <pivotField showAll="0"/>
    <pivotField dataField="1" showAll="0"/>
    <pivotField axis="axisCol" showAll="0">
      <items count="4">
        <item x="1"/>
        <item x="0"/>
        <item x="2"/>
        <item t="default"/>
      </items>
    </pivotField>
    <pivotField showAll="0"/>
  </pivotFields>
  <rowFields count="1">
    <field x="0"/>
  </rowFields>
  <rowItems count="4">
    <i>
      <x/>
    </i>
    <i>
      <x v="1"/>
    </i>
    <i>
      <x v="2"/>
    </i>
    <i t="grand">
      <x/>
    </i>
  </rowItems>
  <colFields count="1">
    <field x="6"/>
  </colFields>
  <colItems count="4">
    <i>
      <x/>
    </i>
    <i>
      <x v="1"/>
    </i>
    <i>
      <x v="2"/>
    </i>
    <i t="grand">
      <x/>
    </i>
  </colItems>
  <dataFields count="1">
    <dataField name="Average of body_mass_g" fld="5" subtotal="average" baseField="0" baseItem="0"/>
  </dataFields>
  <formats count="3">
    <format dxfId="55">
      <pivotArea collapsedLevelsAreSubtotals="1" fieldPosition="0">
        <references count="2">
          <reference field="0" count="1">
            <x v="0"/>
          </reference>
          <reference field="6" count="1" selected="0">
            <x v="1"/>
          </reference>
        </references>
      </pivotArea>
    </format>
    <format dxfId="54">
      <pivotArea collapsedLevelsAreSubtotals="1" fieldPosition="0">
        <references count="2">
          <reference field="0" count="1">
            <x v="1"/>
          </reference>
          <reference field="6" count="1" selected="0">
            <x v="1"/>
          </reference>
        </references>
      </pivotArea>
    </format>
    <format dxfId="53">
      <pivotArea collapsedLevelsAreSubtotals="1" fieldPosition="0">
        <references count="2">
          <reference field="0" count="1">
            <x v="2"/>
          </reference>
          <reference field="6"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5509CF26-56E8-481A-B9AE-A30FDC827709}"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L121:M125" firstHeaderRow="1" firstDataRow="1" firstDataCol="1"/>
  <pivotFields count="8">
    <pivotField axis="axisRow" dataField="1" showAll="0">
      <items count="4">
        <item x="2"/>
        <item x="1"/>
        <item x="0"/>
        <item t="default"/>
      </items>
    </pivotField>
    <pivotField showAll="0">
      <items count="4">
        <item x="0"/>
        <item x="1"/>
        <item x="2"/>
        <item t="default"/>
      </items>
    </pivotField>
    <pivotField showAll="0"/>
    <pivotField showAll="0"/>
    <pivotField showAll="0"/>
    <pivotField showAll="0"/>
    <pivotField showAll="0">
      <items count="4">
        <item x="1"/>
        <item x="0"/>
        <item x="2"/>
        <item t="default"/>
      </items>
    </pivotField>
    <pivotField showAll="0"/>
  </pivotFields>
  <rowFields count="1">
    <field x="0"/>
  </rowFields>
  <rowItems count="4">
    <i>
      <x/>
    </i>
    <i>
      <x v="1"/>
    </i>
    <i>
      <x v="2"/>
    </i>
    <i t="grand">
      <x/>
    </i>
  </rowItems>
  <colItems count="1">
    <i/>
  </colItems>
  <dataFields count="1">
    <dataField name="Count of species" fld="0" subtotal="count" showDataAs="percentOfTotal" baseField="0" baseItem="0" numFmtId="10"/>
  </dataFields>
  <chartFormats count="4">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0" count="1" selected="0">
            <x v="0"/>
          </reference>
        </references>
      </pivotArea>
    </chartFormat>
    <chartFormat chart="14" format="2">
      <pivotArea type="data" outline="0" fieldPosition="0">
        <references count="2">
          <reference field="4294967294" count="1" selected="0">
            <x v="0"/>
          </reference>
          <reference field="0" count="1" selected="0">
            <x v="1"/>
          </reference>
        </references>
      </pivotArea>
    </chartFormat>
    <chartFormat chart="14"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51610A2-7F58-4698-BBCF-0C77BCB5E59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B14" firstHeaderRow="1" firstDataRow="1" firstDataCol="1"/>
  <pivotFields count="8">
    <pivotField showAll="0">
      <items count="4">
        <item x="2"/>
        <item x="1"/>
        <item x="0"/>
        <item t="default"/>
      </items>
    </pivotField>
    <pivotField axis="axisRow" showAll="0">
      <items count="4">
        <item x="0"/>
        <item x="1"/>
        <item x="2"/>
        <item t="default"/>
      </items>
    </pivotField>
    <pivotField showAll="0"/>
    <pivotField showAll="0"/>
    <pivotField dataField="1" showAll="0"/>
    <pivotField showAll="0"/>
    <pivotField showAll="0">
      <items count="4">
        <item x="1"/>
        <item x="0"/>
        <item x="2"/>
        <item t="default"/>
      </items>
    </pivotField>
    <pivotField showAll="0"/>
  </pivotFields>
  <rowFields count="1">
    <field x="1"/>
  </rowFields>
  <rowItems count="4">
    <i>
      <x/>
    </i>
    <i>
      <x v="1"/>
    </i>
    <i>
      <x v="2"/>
    </i>
    <i t="grand">
      <x/>
    </i>
  </rowItems>
  <colItems count="1">
    <i/>
  </colItems>
  <dataFields count="1">
    <dataField name="Average of flipper_length_mm" fld="4" subtotal="average" baseField="1" baseItem="0"/>
  </dataFields>
  <formats count="5">
    <format dxfId="60">
      <pivotArea collapsedLevelsAreSubtotals="1" fieldPosition="0">
        <references count="1">
          <reference field="1" count="1">
            <x v="0"/>
          </reference>
        </references>
      </pivotArea>
    </format>
    <format dxfId="59">
      <pivotArea collapsedLevelsAreSubtotals="1" fieldPosition="0">
        <references count="1">
          <reference field="1" count="1">
            <x v="0"/>
          </reference>
        </references>
      </pivotArea>
    </format>
    <format dxfId="58">
      <pivotArea collapsedLevelsAreSubtotals="1" fieldPosition="0">
        <references count="1">
          <reference field="1" count="1">
            <x v="1"/>
          </reference>
        </references>
      </pivotArea>
    </format>
    <format dxfId="57">
      <pivotArea collapsedLevelsAreSubtotals="1" fieldPosition="0">
        <references count="1">
          <reference field="1" count="1">
            <x v="2"/>
          </reference>
        </references>
      </pivotArea>
    </format>
    <format dxfId="56">
      <pivotArea grandRow="1"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es" xr10:uid="{C84FAB8C-EF2A-401D-8682-3B6A18121541}" sourceName="species">
  <pivotTables>
    <pivotTable tabId="12" name="PivotTable7"/>
    <pivotTable tabId="12" name="PivotTable1"/>
    <pivotTable tabId="12" name="PivotTable10"/>
    <pivotTable tabId="12" name="PivotTable11"/>
    <pivotTable tabId="12" name="PivotTable12"/>
    <pivotTable tabId="12" name="PivotTable13"/>
    <pivotTable tabId="12" name="PivotTable14"/>
    <pivotTable tabId="12" name="PivotTable15"/>
    <pivotTable tabId="12" name="PivotTable18"/>
    <pivotTable tabId="12" name="PivotTable19"/>
    <pivotTable tabId="12" name="PivotTable2"/>
    <pivotTable tabId="12" name="PivotTable20"/>
    <pivotTable tabId="12" name="PivotTable21"/>
    <pivotTable tabId="12" name="PivotTable22"/>
    <pivotTable tabId="12" name="PivotTable23"/>
    <pivotTable tabId="12" name="PivotTable24"/>
    <pivotTable tabId="12" name="PivotTable26"/>
    <pivotTable tabId="12" name="PivotTable27"/>
    <pivotTable tabId="12" name="PivotTable28"/>
    <pivotTable tabId="12" name="PivotTable3"/>
    <pivotTable tabId="12" name="PivotTable4"/>
    <pivotTable tabId="12" name="PivotTable5"/>
    <pivotTable tabId="12" name="PivotTable6"/>
    <pivotTable tabId="12" name="PivotTable8"/>
    <pivotTable tabId="12" name="PivotTable9"/>
  </pivotTables>
  <data>
    <tabular pivotCacheId="12744153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land1" xr10:uid="{10F29E89-17FB-417E-A6CF-67FEB4CE9026}" sourceName="island">
  <pivotTables>
    <pivotTable tabId="12" name="PivotTable7"/>
    <pivotTable tabId="12" name="PivotTable1"/>
    <pivotTable tabId="12" name="PivotTable10"/>
    <pivotTable tabId="12" name="PivotTable11"/>
    <pivotTable tabId="12" name="PivotTable12"/>
    <pivotTable tabId="12" name="PivotTable13"/>
    <pivotTable tabId="12" name="PivotTable14"/>
    <pivotTable tabId="12" name="PivotTable15"/>
    <pivotTable tabId="12" name="PivotTable18"/>
    <pivotTable tabId="12" name="PivotTable19"/>
    <pivotTable tabId="12" name="PivotTable2"/>
    <pivotTable tabId="12" name="PivotTable20"/>
    <pivotTable tabId="12" name="PivotTable21"/>
    <pivotTable tabId="12" name="PivotTable22"/>
    <pivotTable tabId="12" name="PivotTable23"/>
    <pivotTable tabId="12" name="PivotTable24"/>
    <pivotTable tabId="12" name="PivotTable26"/>
    <pivotTable tabId="12" name="PivotTable27"/>
    <pivotTable tabId="12" name="PivotTable28"/>
    <pivotTable tabId="12" name="PivotTable3"/>
    <pivotTable tabId="12" name="PivotTable4"/>
    <pivotTable tabId="12" name="PivotTable5"/>
    <pivotTable tabId="12" name="PivotTable6"/>
    <pivotTable tabId="12" name="PivotTable8"/>
    <pivotTable tabId="12" name="PivotTable9"/>
  </pivotTables>
  <data>
    <tabular pivotCacheId="12744153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3855E04D-F1B6-4991-9319-AF2495DCA974}" sourceName="sex">
  <pivotTables>
    <pivotTable tabId="12" name="PivotTable7"/>
    <pivotTable tabId="12" name="PivotTable1"/>
    <pivotTable tabId="12" name="PivotTable10"/>
    <pivotTable tabId="12" name="PivotTable11"/>
    <pivotTable tabId="12" name="PivotTable12"/>
    <pivotTable tabId="12" name="PivotTable13"/>
    <pivotTable tabId="12" name="PivotTable15"/>
    <pivotTable tabId="12" name="PivotTable18"/>
    <pivotTable tabId="12" name="PivotTable19"/>
    <pivotTable tabId="12" name="PivotTable2"/>
    <pivotTable tabId="12" name="PivotTable20"/>
    <pivotTable tabId="12" name="PivotTable21"/>
    <pivotTable tabId="12" name="PivotTable22"/>
    <pivotTable tabId="12" name="PivotTable23"/>
    <pivotTable tabId="12" name="PivotTable24"/>
    <pivotTable tabId="12" name="PivotTable25"/>
    <pivotTable tabId="12" name="PivotTable26"/>
    <pivotTable tabId="12" name="PivotTable27"/>
    <pivotTable tabId="12" name="PivotTable28"/>
    <pivotTable tabId="12" name="PivotTable3"/>
    <pivotTable tabId="12" name="PivotTable4"/>
    <pivotTable tabId="12" name="PivotTable5"/>
    <pivotTable tabId="12" name="PivotTable6"/>
    <pivotTable tabId="12" name="PivotTable8"/>
    <pivotTable tabId="12" name="PivotTable9"/>
  </pivotTables>
  <data>
    <tabular pivotCacheId="12744153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land" xr10:uid="{583F8038-79D5-4F70-8E94-A0CAF372A731}" cache="Slicer_island1" caption="island" style="SlicerStyleLight2"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ecies 1" xr10:uid="{FF4FF6B5-1896-485F-957B-32E74404183C}" cache="Slicer_species" caption="species" rowHeight="234950"/>
  <slicer name="island 2" xr10:uid="{4DF1E740-93A9-48D2-A9B6-5A8E6ACA5B52}" cache="Slicer_island1" caption="island" rowHeight="234950"/>
  <slicer name="sex 1" xr10:uid="{F225C6FA-2ED4-4B83-B912-329C5CFFB45C}" cache="Slicer_sex" caption="sex"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27A9D1-9FE6-4797-9DFB-D030382C21B6}" name="Table2" displayName="Table2" ref="A1:Q345" totalsRowShown="0" headerRowDxfId="24">
  <autoFilter ref="A1:Q345" xr:uid="{8F27A9D1-9FE6-4797-9DFB-D030382C21B6}"/>
  <tableColumns count="17">
    <tableColumn id="1" xr3:uid="{BFD42FDA-C281-4664-84F0-77F8C5487A41}" name="species" dataDxfId="23"/>
    <tableColumn id="2" xr3:uid="{96196ED2-6C8B-46B3-89E6-5E3C10CBE6A8}" name="island" dataDxfId="22"/>
    <tableColumn id="3" xr3:uid="{485F3CE6-6FA6-4EEE-9FAA-0304DDC25417}" name="culmen_length_mm" dataDxfId="21"/>
    <tableColumn id="4" xr3:uid="{8F071F60-5A44-404C-A2C3-398AEDC9A9A4}" name="culmen_depth_mm" dataDxfId="20"/>
    <tableColumn id="5" xr3:uid="{E24F950E-238D-4424-892C-9DA3194A9450}" name="flipper_length_mm" dataDxfId="19"/>
    <tableColumn id="6" xr3:uid="{B2385005-BE61-4431-989E-9E08A7747A53}" name="body_mass_g" dataDxfId="18"/>
    <tableColumn id="7" xr3:uid="{5F6C8FEF-0F62-4F08-A552-AE59D01A94F7}" name="sex" dataDxfId="17"/>
    <tableColumn id="8" xr3:uid="{35AD4053-1EF1-4D2E-87E2-3A2B2F2625BF}" name="Midpoints" dataDxfId="16">
      <calculatedColumnFormula>IF(AND(A2="Gentoo"),"5125",IF(AND(A2="Chinstrap"),"3750",IF(AND(A2="Adelie"),"3812.5")))</calculatedColumnFormula>
    </tableColumn>
    <tableColumn id="9" xr3:uid="{C1935BA5-C3B2-415C-8F0F-E3C0A1E8F821}" name=" Avg body mass  abv midpoint" dataDxfId="15">
      <calculatedColumnFormula>IF(AND(A2="Gentoo",F2&gt;5125),"Yes",
   IF(AND(A2="Chinstrap",F2&gt;3750),"Yes",
   IF(AND(A2="Adelie",F2&gt;3812.5),"Yes","No")))</calculatedColumnFormula>
    </tableColumn>
    <tableColumn id="12" xr3:uid="{E4DB94CD-2BAA-42B4-9D90-CDDEA8AD4772}" name="Species2" dataDxfId="14"/>
    <tableColumn id="13" xr3:uid="{8E622E70-455E-4297-B0EB-C3F0C2301037}" name="Size" dataDxfId="13"/>
    <tableColumn id="14" xr3:uid="{CC18D40D-F0AD-4CA8-B968-99C78B689098}" name="Island2" dataDxfId="12"/>
    <tableColumn id="15" xr3:uid="{D910554E-EC3F-45FD-8637-0022D86EACCD}" name="Region" dataDxfId="11"/>
    <tableColumn id="16" xr3:uid="{9AE4E10E-45D6-4182-9802-AC2106A00514}" name="Size Class" dataDxfId="10">
      <calculatedColumnFormula>VLOOKUP(A2,$J$2:$K$4,2,FALSE)</calculatedColumnFormula>
    </tableColumn>
    <tableColumn id="17" xr3:uid="{23E3BF09-91B5-44DF-893E-E41451099B64}" name="Regions" dataDxfId="9">
      <calculatedColumnFormula>VLOOKUP(B2,$L$2:$M$4,2,FALSE)</calculatedColumnFormula>
    </tableColumn>
    <tableColumn id="10" xr3:uid="{1CF454F1-ED7C-491E-9500-55D2DB941F4F}" name="Composite score" dataDxfId="8">
      <calculatedColumnFormula>IF(F2&gt;5000,3,IF(F2&gt;4000,2,1))</calculatedColumnFormula>
    </tableColumn>
    <tableColumn id="11" xr3:uid="{FB098C5A-B20B-48E5-87F4-B0272623394E}" name="Size Index" dataDxfId="7">
      <calculatedColumnFormula>ROUND((F2+E2+C2)/3,2)</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BF1EF-6A2C-4FB3-B410-23B979335190}">
  <dimension ref="A1:AE177"/>
  <sheetViews>
    <sheetView zoomScale="80" zoomScaleNormal="80" workbookViewId="0">
      <selection activeCell="H28" sqref="H28"/>
    </sheetView>
  </sheetViews>
  <sheetFormatPr defaultRowHeight="14.4" x14ac:dyDescent="0.3"/>
  <cols>
    <col min="1" max="1" width="13.33203125" bestFit="1" customWidth="1"/>
    <col min="2" max="2" width="27.88671875" bestFit="1" customWidth="1"/>
    <col min="3" max="3" width="11" bestFit="1" customWidth="1"/>
    <col min="4" max="4" width="27.88671875" bestFit="1" customWidth="1"/>
    <col min="5" max="5" width="13.33203125" bestFit="1" customWidth="1"/>
    <col min="6" max="6" width="28.44140625" bestFit="1" customWidth="1"/>
    <col min="7" max="7" width="13.33203125" bestFit="1" customWidth="1"/>
    <col min="8" max="8" width="20.5546875" bestFit="1" customWidth="1"/>
    <col min="9" max="9" width="13.33203125" bestFit="1" customWidth="1"/>
    <col min="10" max="10" width="20.5546875" bestFit="1" customWidth="1"/>
    <col min="11" max="11" width="19.88671875" bestFit="1" customWidth="1"/>
    <col min="12" max="13" width="12" bestFit="1" customWidth="1"/>
    <col min="14" max="14" width="5.88671875" bestFit="1" customWidth="1"/>
    <col min="15" max="15" width="7.109375" bestFit="1" customWidth="1"/>
    <col min="16" max="16" width="11" bestFit="1" customWidth="1"/>
    <col min="17" max="20" width="5" bestFit="1" customWidth="1"/>
    <col min="21" max="21" width="3" bestFit="1" customWidth="1"/>
    <col min="22" max="29" width="5" bestFit="1" customWidth="1"/>
    <col min="30" max="30" width="3" bestFit="1" customWidth="1"/>
    <col min="31" max="45" width="5" bestFit="1" customWidth="1"/>
    <col min="46" max="46" width="3" bestFit="1" customWidth="1"/>
    <col min="47" max="61" width="5" bestFit="1" customWidth="1"/>
    <col min="62" max="62" width="3" bestFit="1" customWidth="1"/>
    <col min="63" max="69" width="5" bestFit="1" customWidth="1"/>
    <col min="70" max="70" width="3" bestFit="1" customWidth="1"/>
    <col min="71" max="86" width="5" bestFit="1" customWidth="1"/>
    <col min="87" max="87" width="3" bestFit="1" customWidth="1"/>
    <col min="88" max="91" width="5" bestFit="1" customWidth="1"/>
    <col min="92" max="92" width="3" bestFit="1" customWidth="1"/>
    <col min="93" max="101" width="5" bestFit="1" customWidth="1"/>
    <col min="102" max="102" width="3" bestFit="1" customWidth="1"/>
    <col min="103" max="111" width="5" bestFit="1" customWidth="1"/>
    <col min="112" max="112" width="3" bestFit="1" customWidth="1"/>
    <col min="113" max="126" width="5" bestFit="1" customWidth="1"/>
    <col min="127" max="127" width="3" bestFit="1" customWidth="1"/>
    <col min="128" max="136" width="5" bestFit="1" customWidth="1"/>
    <col min="137" max="137" width="3" bestFit="1" customWidth="1"/>
    <col min="138" max="146" width="5" bestFit="1" customWidth="1"/>
    <col min="147" max="147" width="3" bestFit="1" customWidth="1"/>
    <col min="148" max="153" width="5" bestFit="1" customWidth="1"/>
    <col min="154" max="154" width="3" bestFit="1" customWidth="1"/>
    <col min="155" max="166" width="5" bestFit="1" customWidth="1"/>
    <col min="167" max="167" width="3" bestFit="1" customWidth="1"/>
    <col min="168" max="168" width="5" bestFit="1" customWidth="1"/>
    <col min="169" max="169" width="7" bestFit="1" customWidth="1"/>
    <col min="170" max="170" width="10.77734375" bestFit="1" customWidth="1"/>
  </cols>
  <sheetData>
    <row r="1" spans="1:13" x14ac:dyDescent="0.3">
      <c r="A1" s="49" t="s">
        <v>84</v>
      </c>
      <c r="B1" s="49"/>
      <c r="C1" s="49"/>
      <c r="D1" s="6"/>
      <c r="E1" s="49" t="s">
        <v>85</v>
      </c>
      <c r="F1" s="49"/>
      <c r="G1" s="49"/>
      <c r="H1" s="49"/>
      <c r="I1" s="49" t="s">
        <v>87</v>
      </c>
      <c r="J1" s="49"/>
      <c r="K1" s="49"/>
      <c r="L1" s="49"/>
    </row>
    <row r="2" spans="1:13" x14ac:dyDescent="0.3">
      <c r="I2" s="1" t="s">
        <v>59</v>
      </c>
      <c r="J2" s="1" t="s">
        <v>70</v>
      </c>
    </row>
    <row r="3" spans="1:13" x14ac:dyDescent="0.3">
      <c r="A3" s="1" t="s">
        <v>57</v>
      </c>
      <c r="B3" t="s">
        <v>86</v>
      </c>
      <c r="E3" s="1" t="s">
        <v>57</v>
      </c>
      <c r="F3" t="s">
        <v>59</v>
      </c>
      <c r="I3" s="1" t="s">
        <v>57</v>
      </c>
      <c r="J3" t="s">
        <v>10</v>
      </c>
      <c r="K3" t="s">
        <v>9</v>
      </c>
      <c r="L3" t="s">
        <v>180</v>
      </c>
      <c r="M3" t="s">
        <v>58</v>
      </c>
    </row>
    <row r="4" spans="1:13" x14ac:dyDescent="0.3">
      <c r="A4" s="2" t="s">
        <v>7</v>
      </c>
      <c r="B4">
        <v>4775</v>
      </c>
      <c r="E4" s="2" t="s">
        <v>7</v>
      </c>
      <c r="F4" s="3">
        <v>3700.662251655629</v>
      </c>
      <c r="I4" s="2" t="s">
        <v>7</v>
      </c>
      <c r="J4">
        <v>3368.8356164383563</v>
      </c>
      <c r="K4" s="43">
        <v>4043.4931506849316</v>
      </c>
      <c r="L4">
        <v>3540</v>
      </c>
      <c r="M4">
        <v>3700.662251655629</v>
      </c>
    </row>
    <row r="5" spans="1:13" x14ac:dyDescent="0.3">
      <c r="A5" s="2" t="s">
        <v>13</v>
      </c>
      <c r="B5">
        <v>4800</v>
      </c>
      <c r="E5" s="2" t="s">
        <v>13</v>
      </c>
      <c r="F5" s="3">
        <v>3733.0882352941176</v>
      </c>
      <c r="I5" s="2" t="s">
        <v>13</v>
      </c>
      <c r="J5">
        <v>3527.205882352941</v>
      </c>
      <c r="K5" s="43">
        <v>3938.9705882352941</v>
      </c>
      <c r="M5">
        <v>3733.0882352941176</v>
      </c>
    </row>
    <row r="6" spans="1:13" x14ac:dyDescent="0.3">
      <c r="A6" s="2" t="s">
        <v>14</v>
      </c>
      <c r="B6" s="43">
        <v>6300</v>
      </c>
      <c r="E6" s="2" t="s">
        <v>14</v>
      </c>
      <c r="F6" s="44">
        <v>5076.0162601626016</v>
      </c>
      <c r="I6" s="2" t="s">
        <v>14</v>
      </c>
      <c r="J6">
        <v>4679.7413793103451</v>
      </c>
      <c r="K6" s="43">
        <v>5484.8360655737706</v>
      </c>
      <c r="L6">
        <v>4587.5</v>
      </c>
      <c r="M6">
        <v>5076.0162601626016</v>
      </c>
    </row>
    <row r="7" spans="1:13" x14ac:dyDescent="0.3">
      <c r="A7" s="2" t="s">
        <v>58</v>
      </c>
      <c r="B7">
        <v>6300</v>
      </c>
      <c r="E7" s="2" t="s">
        <v>58</v>
      </c>
      <c r="F7" s="3">
        <v>4201.7543859649122</v>
      </c>
      <c r="I7" s="2" t="s">
        <v>58</v>
      </c>
      <c r="J7">
        <v>3862.2727272727275</v>
      </c>
      <c r="K7">
        <v>4545.6845238095239</v>
      </c>
      <c r="L7">
        <v>4005.5555555555557</v>
      </c>
      <c r="M7">
        <v>4201.7543859649122</v>
      </c>
    </row>
    <row r="9" spans="1:13" x14ac:dyDescent="0.3">
      <c r="A9" s="49" t="s">
        <v>88</v>
      </c>
      <c r="B9" s="50"/>
      <c r="C9" s="50"/>
      <c r="E9" s="49" t="s">
        <v>61</v>
      </c>
      <c r="F9" s="49"/>
      <c r="G9" s="49"/>
      <c r="H9" s="49"/>
      <c r="I9" s="49" t="s">
        <v>63</v>
      </c>
      <c r="J9" s="50"/>
      <c r="K9" s="50"/>
      <c r="L9" s="50"/>
    </row>
    <row r="10" spans="1:13" x14ac:dyDescent="0.3">
      <c r="A10" s="1" t="s">
        <v>57</v>
      </c>
      <c r="B10" t="s">
        <v>71</v>
      </c>
      <c r="E10" s="1" t="s">
        <v>57</v>
      </c>
      <c r="F10" t="s">
        <v>73</v>
      </c>
      <c r="I10" s="1" t="s">
        <v>57</v>
      </c>
      <c r="J10" t="s">
        <v>86</v>
      </c>
      <c r="K10" t="s">
        <v>89</v>
      </c>
      <c r="L10" s="8" t="s">
        <v>90</v>
      </c>
    </row>
    <row r="11" spans="1:13" x14ac:dyDescent="0.3">
      <c r="A11" s="2" t="s">
        <v>11</v>
      </c>
      <c r="B11" s="44">
        <v>209.70658682634732</v>
      </c>
      <c r="E11" s="2" t="s">
        <v>7</v>
      </c>
      <c r="F11" s="7">
        <v>0.44186046511627908</v>
      </c>
      <c r="I11" s="2" t="s">
        <v>7</v>
      </c>
      <c r="J11">
        <v>4775</v>
      </c>
      <c r="K11">
        <v>2850</v>
      </c>
      <c r="L11">
        <f>J11-K11</f>
        <v>1925</v>
      </c>
    </row>
    <row r="12" spans="1:13" x14ac:dyDescent="0.3">
      <c r="A12" s="2" t="s">
        <v>12</v>
      </c>
      <c r="B12" s="3">
        <v>193.07258064516128</v>
      </c>
      <c r="E12" s="2" t="s">
        <v>13</v>
      </c>
      <c r="F12" s="4">
        <v>0.19767441860465115</v>
      </c>
      <c r="I12" s="2" t="s">
        <v>13</v>
      </c>
      <c r="J12">
        <v>4800</v>
      </c>
      <c r="K12">
        <v>2700</v>
      </c>
      <c r="L12">
        <f>J12-K12</f>
        <v>2100</v>
      </c>
    </row>
    <row r="13" spans="1:13" x14ac:dyDescent="0.3">
      <c r="A13" s="2" t="s">
        <v>8</v>
      </c>
      <c r="B13" s="3">
        <v>191.19607843137254</v>
      </c>
      <c r="E13" s="2" t="s">
        <v>14</v>
      </c>
      <c r="F13" s="4">
        <v>0.36046511627906974</v>
      </c>
      <c r="I13" s="2" t="s">
        <v>14</v>
      </c>
      <c r="J13">
        <v>6300</v>
      </c>
      <c r="K13">
        <v>3950</v>
      </c>
      <c r="L13" s="5">
        <f>J13-K13</f>
        <v>2350</v>
      </c>
    </row>
    <row r="14" spans="1:13" x14ac:dyDescent="0.3">
      <c r="A14" s="2" t="s">
        <v>58</v>
      </c>
      <c r="B14" s="3">
        <v>200.91520467836258</v>
      </c>
      <c r="E14" s="2" t="s">
        <v>58</v>
      </c>
      <c r="F14" s="4">
        <v>1</v>
      </c>
      <c r="I14" s="2" t="s">
        <v>58</v>
      </c>
      <c r="J14">
        <v>6300</v>
      </c>
      <c r="K14">
        <v>2700</v>
      </c>
      <c r="L14">
        <f>J14-K14</f>
        <v>3600</v>
      </c>
    </row>
    <row r="16" spans="1:13" x14ac:dyDescent="0.3">
      <c r="A16" s="49" t="s">
        <v>91</v>
      </c>
      <c r="B16" s="49"/>
      <c r="C16" s="49"/>
      <c r="D16" s="49"/>
      <c r="E16" s="49" t="s">
        <v>65</v>
      </c>
      <c r="F16" s="49"/>
      <c r="G16" s="49"/>
      <c r="H16" s="49"/>
      <c r="I16" s="49" t="s">
        <v>66</v>
      </c>
      <c r="J16" s="49"/>
      <c r="K16" s="49"/>
      <c r="L16" s="49"/>
      <c r="M16" s="49"/>
    </row>
    <row r="17" spans="1:16" x14ac:dyDescent="0.3">
      <c r="A17" s="1" t="s">
        <v>57</v>
      </c>
      <c r="B17" t="s">
        <v>59</v>
      </c>
      <c r="C17" t="s">
        <v>71</v>
      </c>
      <c r="E17" s="1" t="s">
        <v>57</v>
      </c>
      <c r="F17" t="s">
        <v>92</v>
      </c>
      <c r="I17" s="1" t="s">
        <v>57</v>
      </c>
      <c r="J17" t="s">
        <v>95</v>
      </c>
    </row>
    <row r="18" spans="1:16" x14ac:dyDescent="0.3">
      <c r="A18" s="2" t="s">
        <v>7</v>
      </c>
      <c r="B18">
        <v>3700.662251655629</v>
      </c>
      <c r="C18">
        <v>189.95364238410596</v>
      </c>
      <c r="E18" s="2" t="s">
        <v>7</v>
      </c>
      <c r="F18" s="3">
        <v>38.791390728476813</v>
      </c>
      <c r="I18" s="2" t="s">
        <v>7</v>
      </c>
      <c r="J18">
        <v>151</v>
      </c>
      <c r="K18" t="s">
        <v>94</v>
      </c>
      <c r="L18" t="s">
        <v>58</v>
      </c>
    </row>
    <row r="19" spans="1:16" x14ac:dyDescent="0.3">
      <c r="A19" s="2" t="s">
        <v>13</v>
      </c>
      <c r="B19">
        <v>3733.0882352941176</v>
      </c>
      <c r="C19">
        <v>195.8235294117647</v>
      </c>
      <c r="E19" s="2" t="s">
        <v>13</v>
      </c>
      <c r="F19" s="44">
        <v>48.833823529411745</v>
      </c>
      <c r="I19" s="2" t="s">
        <v>13</v>
      </c>
      <c r="J19">
        <v>68</v>
      </c>
      <c r="K19">
        <v>55</v>
      </c>
      <c r="L19">
        <v>151</v>
      </c>
    </row>
    <row r="20" spans="1:16" x14ac:dyDescent="0.3">
      <c r="A20" s="2" t="s">
        <v>14</v>
      </c>
      <c r="B20">
        <v>5076.0162601626016</v>
      </c>
      <c r="C20">
        <v>217.1869918699187</v>
      </c>
      <c r="E20" s="2" t="s">
        <v>14</v>
      </c>
      <c r="F20" s="3">
        <v>47.504878048780476</v>
      </c>
      <c r="I20" s="2" t="s">
        <v>14</v>
      </c>
      <c r="J20">
        <v>123</v>
      </c>
      <c r="K20">
        <v>30</v>
      </c>
      <c r="L20">
        <v>68</v>
      </c>
    </row>
    <row r="21" spans="1:16" x14ac:dyDescent="0.3">
      <c r="A21" s="2" t="s">
        <v>58</v>
      </c>
      <c r="B21">
        <v>4201.7543859649122</v>
      </c>
      <c r="C21">
        <v>200.91520467836258</v>
      </c>
      <c r="E21" s="2" t="s">
        <v>58</v>
      </c>
      <c r="F21" s="3">
        <v>43.92192982456141</v>
      </c>
      <c r="I21" s="2" t="s">
        <v>58</v>
      </c>
      <c r="J21">
        <v>342</v>
      </c>
      <c r="K21">
        <v>55</v>
      </c>
      <c r="L21">
        <v>123</v>
      </c>
    </row>
    <row r="22" spans="1:16" x14ac:dyDescent="0.3">
      <c r="I22" s="2" t="s">
        <v>58</v>
      </c>
      <c r="J22">
        <v>202</v>
      </c>
      <c r="K22">
        <v>140</v>
      </c>
      <c r="L22">
        <v>342</v>
      </c>
    </row>
    <row r="23" spans="1:16" x14ac:dyDescent="0.3">
      <c r="A23" s="56" t="s">
        <v>97</v>
      </c>
      <c r="B23" s="57"/>
      <c r="C23" s="57"/>
      <c r="D23" s="57"/>
      <c r="E23" s="49" t="s">
        <v>67</v>
      </c>
      <c r="F23" s="49"/>
      <c r="G23" s="49"/>
      <c r="H23" s="49"/>
    </row>
    <row r="24" spans="1:16" x14ac:dyDescent="0.3">
      <c r="A24" s="1" t="s">
        <v>57</v>
      </c>
      <c r="B24" s="1" t="s">
        <v>70</v>
      </c>
      <c r="E24" s="1" t="s">
        <v>73</v>
      </c>
      <c r="F24" s="1" t="s">
        <v>70</v>
      </c>
    </row>
    <row r="25" spans="1:16" x14ac:dyDescent="0.3">
      <c r="A25" s="2" t="s">
        <v>7</v>
      </c>
      <c r="B25" t="s">
        <v>93</v>
      </c>
      <c r="C25" t="s">
        <v>94</v>
      </c>
      <c r="D25" t="s">
        <v>58</v>
      </c>
      <c r="E25" s="1" t="s">
        <v>57</v>
      </c>
      <c r="F25" t="s">
        <v>7</v>
      </c>
      <c r="G25" t="s">
        <v>13</v>
      </c>
      <c r="H25" t="s">
        <v>14</v>
      </c>
      <c r="I25" t="s">
        <v>58</v>
      </c>
    </row>
    <row r="26" spans="1:16" x14ac:dyDescent="0.3">
      <c r="A26" s="2" t="s">
        <v>13</v>
      </c>
      <c r="B26" s="9">
        <v>0.28197674418604651</v>
      </c>
      <c r="C26" s="9">
        <v>0.15988372093023256</v>
      </c>
      <c r="D26" s="9">
        <v>0.44186046511627908</v>
      </c>
      <c r="E26" s="2" t="s">
        <v>11</v>
      </c>
      <c r="F26" s="9">
        <v>0.26190476190476192</v>
      </c>
      <c r="G26" s="9">
        <v>0</v>
      </c>
      <c r="H26" s="45">
        <v>0.73809523809523814</v>
      </c>
      <c r="I26" s="4">
        <v>1</v>
      </c>
    </row>
    <row r="27" spans="1:16" x14ac:dyDescent="0.3">
      <c r="A27" s="2" t="s">
        <v>14</v>
      </c>
      <c r="B27" s="9">
        <v>0.11046511627906977</v>
      </c>
      <c r="C27" s="9">
        <v>8.7209302325581398E-2</v>
      </c>
      <c r="D27" s="9">
        <v>0.19767441860465115</v>
      </c>
      <c r="E27" s="2" t="s">
        <v>12</v>
      </c>
      <c r="F27" s="9">
        <v>0.45161290322580644</v>
      </c>
      <c r="G27" s="9">
        <v>0.54838709677419351</v>
      </c>
      <c r="H27" s="4">
        <v>0</v>
      </c>
      <c r="I27" s="4">
        <v>1</v>
      </c>
    </row>
    <row r="28" spans="1:16" x14ac:dyDescent="0.3">
      <c r="A28" s="2" t="s">
        <v>58</v>
      </c>
      <c r="B28" s="9">
        <v>0.2005813953488372</v>
      </c>
      <c r="C28" s="9">
        <v>0.15988372093023256</v>
      </c>
      <c r="D28" s="9">
        <v>0.36046511627906974</v>
      </c>
      <c r="E28" s="2" t="s">
        <v>8</v>
      </c>
      <c r="F28" s="10">
        <v>1</v>
      </c>
      <c r="G28" s="9">
        <v>0</v>
      </c>
      <c r="H28" s="4">
        <v>0</v>
      </c>
      <c r="I28" s="4">
        <v>1</v>
      </c>
    </row>
    <row r="29" spans="1:16" x14ac:dyDescent="0.3">
      <c r="A29" s="2" t="s">
        <v>58</v>
      </c>
      <c r="B29" s="9">
        <v>0.59302325581395354</v>
      </c>
      <c r="C29" s="9">
        <v>0.40697674418604651</v>
      </c>
      <c r="D29" s="9">
        <v>1</v>
      </c>
      <c r="E29" s="2" t="s">
        <v>58</v>
      </c>
      <c r="F29" s="9">
        <v>0.44186046511627908</v>
      </c>
      <c r="G29" s="9">
        <v>0.19767441860465115</v>
      </c>
      <c r="H29" s="4">
        <v>0.36046511627906974</v>
      </c>
      <c r="I29" s="4">
        <v>1</v>
      </c>
    </row>
    <row r="31" spans="1:16" x14ac:dyDescent="0.3">
      <c r="A31" s="49" t="s">
        <v>99</v>
      </c>
      <c r="B31" s="49"/>
      <c r="C31" s="49"/>
      <c r="D31" s="49"/>
      <c r="E31" s="49"/>
      <c r="F31" s="49" t="s">
        <v>107</v>
      </c>
      <c r="G31" s="49"/>
      <c r="H31" s="49"/>
      <c r="I31" s="49"/>
      <c r="L31" s="52" t="s">
        <v>114</v>
      </c>
      <c r="M31" s="50"/>
      <c r="N31" s="50"/>
      <c r="O31" s="50"/>
      <c r="P31" s="50"/>
    </row>
    <row r="32" spans="1:16" x14ac:dyDescent="0.3">
      <c r="A32" s="1" t="s">
        <v>106</v>
      </c>
      <c r="B32" s="1" t="s">
        <v>70</v>
      </c>
      <c r="F32" s="1" t="s">
        <v>59</v>
      </c>
      <c r="G32" s="1" t="s">
        <v>70</v>
      </c>
      <c r="L32" s="1" t="s">
        <v>57</v>
      </c>
      <c r="M32" t="s">
        <v>59</v>
      </c>
    </row>
    <row r="33" spans="1:13" x14ac:dyDescent="0.3">
      <c r="A33" s="1" t="s">
        <v>57</v>
      </c>
      <c r="B33" t="s">
        <v>10</v>
      </c>
      <c r="C33" t="s">
        <v>9</v>
      </c>
      <c r="D33" t="s">
        <v>180</v>
      </c>
      <c r="E33" t="s">
        <v>58</v>
      </c>
      <c r="F33" s="1" t="s">
        <v>57</v>
      </c>
      <c r="G33" t="s">
        <v>11</v>
      </c>
      <c r="H33" t="s">
        <v>12</v>
      </c>
      <c r="I33" t="s">
        <v>8</v>
      </c>
      <c r="J33" t="s">
        <v>58</v>
      </c>
      <c r="L33" s="2" t="s">
        <v>7</v>
      </c>
      <c r="M33">
        <v>3700.662251655629</v>
      </c>
    </row>
    <row r="34" spans="1:13" x14ac:dyDescent="0.3">
      <c r="A34" s="2" t="s">
        <v>7</v>
      </c>
      <c r="B34" s="2">
        <v>73</v>
      </c>
      <c r="C34" s="2">
        <v>73</v>
      </c>
      <c r="E34" s="2">
        <v>146</v>
      </c>
      <c r="F34" s="2" t="s">
        <v>7</v>
      </c>
      <c r="G34" s="2">
        <v>3709.659090909091</v>
      </c>
      <c r="H34">
        <v>3688.3928571428573</v>
      </c>
      <c r="I34">
        <v>3706.372549019608</v>
      </c>
      <c r="J34">
        <v>3700.662251655629</v>
      </c>
      <c r="L34" s="2" t="s">
        <v>13</v>
      </c>
      <c r="M34">
        <v>3733.0882352941176</v>
      </c>
    </row>
    <row r="35" spans="1:13" x14ac:dyDescent="0.3">
      <c r="A35" s="2" t="s">
        <v>13</v>
      </c>
      <c r="B35" s="2">
        <v>34</v>
      </c>
      <c r="C35" s="2">
        <v>34</v>
      </c>
      <c r="E35" s="2">
        <v>68</v>
      </c>
      <c r="F35" s="2" t="s">
        <v>13</v>
      </c>
      <c r="G35" s="2"/>
      <c r="H35">
        <v>3733.0882352941176</v>
      </c>
      <c r="J35">
        <v>3733.0882352941176</v>
      </c>
      <c r="L35" s="2" t="s">
        <v>14</v>
      </c>
      <c r="M35">
        <v>5076.0162601626016</v>
      </c>
    </row>
    <row r="36" spans="1:13" x14ac:dyDescent="0.3">
      <c r="A36" s="2" t="s">
        <v>14</v>
      </c>
      <c r="B36" s="2">
        <v>58</v>
      </c>
      <c r="C36" s="2">
        <v>61</v>
      </c>
      <c r="E36" s="2">
        <v>119</v>
      </c>
      <c r="F36" s="2" t="s">
        <v>14</v>
      </c>
      <c r="G36" s="2">
        <v>5076.0162601626016</v>
      </c>
      <c r="J36">
        <v>5076.0162601626016</v>
      </c>
      <c r="L36" s="2" t="s">
        <v>58</v>
      </c>
      <c r="M36">
        <v>4201.7543859649122</v>
      </c>
    </row>
    <row r="37" spans="1:13" x14ac:dyDescent="0.3">
      <c r="A37" s="2" t="s">
        <v>58</v>
      </c>
      <c r="B37" s="2">
        <v>165</v>
      </c>
      <c r="C37" s="2">
        <v>168</v>
      </c>
      <c r="E37" s="2">
        <v>333</v>
      </c>
      <c r="F37" s="2" t="s">
        <v>58</v>
      </c>
      <c r="G37" s="2">
        <v>4716.0179640718561</v>
      </c>
      <c r="H37">
        <v>3712.9032258064517</v>
      </c>
      <c r="I37">
        <v>3706.372549019608</v>
      </c>
      <c r="J37">
        <v>4201.7543859649122</v>
      </c>
    </row>
    <row r="39" spans="1:13" x14ac:dyDescent="0.3">
      <c r="A39" s="49" t="s">
        <v>101</v>
      </c>
      <c r="B39" s="50"/>
      <c r="C39" s="50"/>
      <c r="D39" s="50"/>
      <c r="E39" s="53" t="s">
        <v>108</v>
      </c>
      <c r="F39" s="54"/>
      <c r="G39" s="54"/>
    </row>
    <row r="40" spans="1:13" x14ac:dyDescent="0.3">
      <c r="A40" s="1" t="s">
        <v>59</v>
      </c>
      <c r="B40" s="1" t="s">
        <v>70</v>
      </c>
      <c r="E40" s="1" t="s">
        <v>57</v>
      </c>
      <c r="F40" t="s">
        <v>109</v>
      </c>
      <c r="G40" t="s">
        <v>110</v>
      </c>
    </row>
    <row r="41" spans="1:13" x14ac:dyDescent="0.3">
      <c r="A41" s="1" t="s">
        <v>57</v>
      </c>
      <c r="B41" t="s">
        <v>9</v>
      </c>
      <c r="C41" t="s">
        <v>58</v>
      </c>
      <c r="E41" s="2" t="s">
        <v>7</v>
      </c>
      <c r="F41">
        <v>210</v>
      </c>
      <c r="G41">
        <v>172</v>
      </c>
    </row>
    <row r="42" spans="1:13" x14ac:dyDescent="0.3">
      <c r="A42" s="2" t="s">
        <v>11</v>
      </c>
      <c r="B42" s="43">
        <v>5104.5180722891564</v>
      </c>
      <c r="C42">
        <v>5104.5180722891564</v>
      </c>
      <c r="E42" s="2" t="s">
        <v>13</v>
      </c>
      <c r="F42">
        <v>212</v>
      </c>
      <c r="G42">
        <v>178</v>
      </c>
    </row>
    <row r="43" spans="1:13" x14ac:dyDescent="0.3">
      <c r="A43" s="2" t="s">
        <v>12</v>
      </c>
      <c r="B43">
        <v>3987.0967741935483</v>
      </c>
      <c r="C43">
        <v>3987.0967741935483</v>
      </c>
      <c r="E43" s="2" t="s">
        <v>14</v>
      </c>
      <c r="F43">
        <v>231</v>
      </c>
      <c r="G43">
        <v>203</v>
      </c>
    </row>
    <row r="44" spans="1:13" x14ac:dyDescent="0.3">
      <c r="A44" s="2" t="s">
        <v>8</v>
      </c>
      <c r="B44">
        <v>4034.782608695652</v>
      </c>
      <c r="C44">
        <v>4034.782608695652</v>
      </c>
      <c r="E44" s="2" t="s">
        <v>58</v>
      </c>
      <c r="F44">
        <v>231</v>
      </c>
      <c r="G44">
        <v>172</v>
      </c>
    </row>
    <row r="45" spans="1:13" x14ac:dyDescent="0.3">
      <c r="A45" s="2" t="s">
        <v>58</v>
      </c>
      <c r="B45">
        <v>4545.6845238095239</v>
      </c>
      <c r="C45">
        <v>4545.6845238095239</v>
      </c>
    </row>
    <row r="46" spans="1:13" x14ac:dyDescent="0.3">
      <c r="A46" s="53"/>
      <c r="B46" s="54"/>
      <c r="C46" s="54"/>
      <c r="D46" s="6"/>
    </row>
    <row r="53" spans="1:31" x14ac:dyDescent="0.3">
      <c r="A53" s="49" t="s">
        <v>124</v>
      </c>
      <c r="B53" s="49"/>
      <c r="C53" s="49"/>
      <c r="D53" s="49"/>
      <c r="E53" s="49"/>
      <c r="F53" s="49"/>
      <c r="G53" s="49" t="s">
        <v>105</v>
      </c>
      <c r="H53" s="49"/>
      <c r="I53" s="49"/>
      <c r="J53" s="49"/>
      <c r="K53" s="49"/>
    </row>
    <row r="54" spans="1:31" x14ac:dyDescent="0.3">
      <c r="A54" s="1" t="s">
        <v>127</v>
      </c>
      <c r="B54" s="1" t="s">
        <v>70</v>
      </c>
      <c r="G54" s="1" t="s">
        <v>57</v>
      </c>
      <c r="H54" t="s">
        <v>95</v>
      </c>
    </row>
    <row r="55" spans="1:31" x14ac:dyDescent="0.3">
      <c r="A55" s="1" t="s">
        <v>57</v>
      </c>
      <c r="B55" t="s">
        <v>94</v>
      </c>
      <c r="C55" t="s">
        <v>58</v>
      </c>
      <c r="G55" s="2">
        <v>6000</v>
      </c>
      <c r="H55">
        <v>2</v>
      </c>
      <c r="L55" s="49" t="s">
        <v>119</v>
      </c>
      <c r="M55" s="50"/>
      <c r="N55" s="50"/>
      <c r="O55" s="50"/>
      <c r="P55" s="50"/>
      <c r="Q55" s="50"/>
      <c r="R55" s="50"/>
      <c r="S55" s="50"/>
      <c r="T55" s="50"/>
    </row>
    <row r="56" spans="1:31" x14ac:dyDescent="0.3">
      <c r="A56" s="2" t="s">
        <v>7</v>
      </c>
      <c r="B56" s="2">
        <v>55</v>
      </c>
      <c r="C56">
        <v>55</v>
      </c>
      <c r="G56" s="2" t="s">
        <v>58</v>
      </c>
      <c r="H56">
        <v>2</v>
      </c>
      <c r="L56" s="1" t="s">
        <v>57</v>
      </c>
      <c r="M56" t="s">
        <v>71</v>
      </c>
    </row>
    <row r="57" spans="1:31" x14ac:dyDescent="0.3">
      <c r="A57" s="2" t="s">
        <v>13</v>
      </c>
      <c r="B57" s="2">
        <v>30</v>
      </c>
      <c r="C57">
        <v>30</v>
      </c>
      <c r="L57" s="2" t="s">
        <v>11</v>
      </c>
      <c r="M57">
        <v>209.70658682634732</v>
      </c>
    </row>
    <row r="58" spans="1:31" x14ac:dyDescent="0.3">
      <c r="A58" s="2" t="s">
        <v>14</v>
      </c>
      <c r="B58" s="2">
        <v>55</v>
      </c>
      <c r="C58">
        <v>55</v>
      </c>
      <c r="L58" s="2" t="s">
        <v>12</v>
      </c>
      <c r="M58">
        <v>193.07258064516128</v>
      </c>
    </row>
    <row r="59" spans="1:31" x14ac:dyDescent="0.3">
      <c r="A59" s="2" t="s">
        <v>58</v>
      </c>
      <c r="B59" s="2">
        <v>140</v>
      </c>
      <c r="C59">
        <v>140</v>
      </c>
      <c r="L59" s="2" t="s">
        <v>8</v>
      </c>
      <c r="M59">
        <v>191.19607843137254</v>
      </c>
    </row>
    <row r="60" spans="1:31" x14ac:dyDescent="0.3">
      <c r="L60" s="2" t="s">
        <v>58</v>
      </c>
      <c r="M60">
        <v>200.91520467836258</v>
      </c>
    </row>
    <row r="61" spans="1:31" x14ac:dyDescent="0.3">
      <c r="A61" s="49" t="s">
        <v>158</v>
      </c>
      <c r="B61" s="50"/>
      <c r="C61" s="50"/>
    </row>
    <row r="62" spans="1:31" x14ac:dyDescent="0.3">
      <c r="A62" s="1" t="s">
        <v>57</v>
      </c>
      <c r="B62" t="s">
        <v>92</v>
      </c>
      <c r="C62" t="s">
        <v>168</v>
      </c>
      <c r="D62" t="s">
        <v>71</v>
      </c>
      <c r="E62" t="s">
        <v>59</v>
      </c>
      <c r="G62" s="49" t="s">
        <v>103</v>
      </c>
      <c r="H62" s="50"/>
      <c r="V62" s="55" t="s">
        <v>120</v>
      </c>
      <c r="W62" s="55"/>
      <c r="X62" s="55"/>
      <c r="Y62" s="55"/>
      <c r="Z62" s="55"/>
      <c r="AA62" s="55"/>
      <c r="AB62" s="55"/>
      <c r="AC62" s="55"/>
      <c r="AD62" s="55"/>
    </row>
    <row r="63" spans="1:31" x14ac:dyDescent="0.3">
      <c r="A63" s="2" t="s">
        <v>7</v>
      </c>
      <c r="B63">
        <v>38.791390728476813</v>
      </c>
      <c r="C63">
        <v>18.346357615894036</v>
      </c>
      <c r="D63">
        <v>189.95364238410596</v>
      </c>
      <c r="E63">
        <v>3700.662251655629</v>
      </c>
      <c r="G63" s="1" t="s">
        <v>57</v>
      </c>
      <c r="H63" t="s">
        <v>92</v>
      </c>
      <c r="V63" s="55" t="s">
        <v>121</v>
      </c>
      <c r="W63" s="55"/>
      <c r="X63" s="55"/>
      <c r="Y63" s="55"/>
      <c r="Z63" s="55"/>
      <c r="AA63" s="55"/>
      <c r="AB63" s="55"/>
      <c r="AC63" s="55"/>
      <c r="AD63" s="55"/>
      <c r="AE63" s="55"/>
    </row>
    <row r="64" spans="1:31" x14ac:dyDescent="0.3">
      <c r="A64" s="2" t="s">
        <v>13</v>
      </c>
      <c r="B64">
        <v>48.833823529411745</v>
      </c>
      <c r="C64">
        <v>18.420588235294112</v>
      </c>
      <c r="D64">
        <v>195.8235294117647</v>
      </c>
      <c r="E64">
        <v>3733.0882352941176</v>
      </c>
      <c r="G64" s="2" t="s">
        <v>7</v>
      </c>
      <c r="H64" s="3">
        <v>38.791390728476813</v>
      </c>
    </row>
    <row r="65" spans="1:20" x14ac:dyDescent="0.3">
      <c r="A65" s="2" t="s">
        <v>14</v>
      </c>
      <c r="B65">
        <v>47.504878048780476</v>
      </c>
      <c r="C65">
        <v>14.982113821138215</v>
      </c>
      <c r="D65">
        <v>217.1869918699187</v>
      </c>
      <c r="E65">
        <v>5076.0162601626016</v>
      </c>
      <c r="G65" s="2" t="s">
        <v>13</v>
      </c>
      <c r="H65" s="3">
        <v>48.833823529411745</v>
      </c>
    </row>
    <row r="66" spans="1:20" x14ac:dyDescent="0.3">
      <c r="A66" s="2" t="s">
        <v>58</v>
      </c>
      <c r="B66">
        <v>43.92192982456141</v>
      </c>
      <c r="C66">
        <v>17.151169590643281</v>
      </c>
      <c r="D66">
        <v>200.91520467836258</v>
      </c>
      <c r="E66">
        <v>4201.7543859649122</v>
      </c>
      <c r="G66" s="2" t="s">
        <v>14</v>
      </c>
      <c r="H66" s="3">
        <v>47.504878048780476</v>
      </c>
    </row>
    <row r="67" spans="1:20" x14ac:dyDescent="0.3">
      <c r="G67" s="2" t="s">
        <v>58</v>
      </c>
      <c r="H67" s="3">
        <v>43.92192982456141</v>
      </c>
    </row>
    <row r="68" spans="1:20" x14ac:dyDescent="0.3">
      <c r="A68" s="49" t="s">
        <v>159</v>
      </c>
      <c r="B68" s="50"/>
      <c r="C68" s="50"/>
    </row>
    <row r="69" spans="1:20" x14ac:dyDescent="0.3">
      <c r="A69" s="1" t="s">
        <v>57</v>
      </c>
      <c r="B69" t="s">
        <v>73</v>
      </c>
      <c r="C69" s="50" t="s">
        <v>169</v>
      </c>
      <c r="D69" s="50"/>
    </row>
    <row r="70" spans="1:20" x14ac:dyDescent="0.3">
      <c r="A70" s="2" t="s">
        <v>7</v>
      </c>
      <c r="B70">
        <v>152</v>
      </c>
    </row>
    <row r="71" spans="1:20" x14ac:dyDescent="0.3">
      <c r="A71" s="2" t="s">
        <v>13</v>
      </c>
      <c r="B71">
        <v>68</v>
      </c>
    </row>
    <row r="72" spans="1:20" x14ac:dyDescent="0.3">
      <c r="A72" s="2" t="s">
        <v>14</v>
      </c>
      <c r="B72">
        <v>124</v>
      </c>
    </row>
    <row r="73" spans="1:20" x14ac:dyDescent="0.3">
      <c r="A73" s="2" t="s">
        <v>58</v>
      </c>
      <c r="B73">
        <v>344</v>
      </c>
    </row>
    <row r="75" spans="1:20" x14ac:dyDescent="0.3">
      <c r="A75" s="52" t="s">
        <v>181</v>
      </c>
      <c r="B75" s="52"/>
      <c r="C75" s="52"/>
      <c r="D75" s="52"/>
      <c r="G75" s="1" t="s">
        <v>57</v>
      </c>
      <c r="H75" t="s">
        <v>92</v>
      </c>
      <c r="I75" t="s">
        <v>168</v>
      </c>
    </row>
    <row r="76" spans="1:20" x14ac:dyDescent="0.3">
      <c r="A76" s="1" t="s">
        <v>57</v>
      </c>
      <c r="B76" t="s">
        <v>92</v>
      </c>
      <c r="G76" s="2" t="s">
        <v>7</v>
      </c>
      <c r="H76">
        <v>38.791390728476813</v>
      </c>
      <c r="I76">
        <v>18.346357615894036</v>
      </c>
    </row>
    <row r="77" spans="1:20" x14ac:dyDescent="0.3">
      <c r="A77" s="2" t="s">
        <v>10</v>
      </c>
      <c r="B77">
        <v>42.096969696969694</v>
      </c>
      <c r="G77" s="2" t="s">
        <v>13</v>
      </c>
      <c r="H77">
        <v>48.833823529411745</v>
      </c>
      <c r="I77">
        <v>18.420588235294112</v>
      </c>
      <c r="L77" s="49" t="s">
        <v>115</v>
      </c>
      <c r="M77" s="50"/>
      <c r="N77" s="50"/>
      <c r="O77" s="50"/>
      <c r="P77" s="50"/>
      <c r="Q77" s="50"/>
      <c r="R77" s="50"/>
      <c r="S77" s="50"/>
      <c r="T77" s="50"/>
    </row>
    <row r="78" spans="1:20" x14ac:dyDescent="0.3">
      <c r="A78" s="2" t="s">
        <v>9</v>
      </c>
      <c r="B78">
        <v>45.854761904761936</v>
      </c>
      <c r="G78" s="2" t="s">
        <v>14</v>
      </c>
      <c r="H78">
        <v>47.504878048780476</v>
      </c>
      <c r="I78">
        <v>14.982113821138215</v>
      </c>
      <c r="L78" s="1" t="s">
        <v>106</v>
      </c>
      <c r="M78" s="1" t="s">
        <v>70</v>
      </c>
    </row>
    <row r="79" spans="1:20" x14ac:dyDescent="0.3">
      <c r="A79" s="2" t="s">
        <v>180</v>
      </c>
      <c r="B79">
        <v>41.300000000000004</v>
      </c>
      <c r="G79" s="2" t="s">
        <v>58</v>
      </c>
      <c r="H79">
        <v>43.92192982456141</v>
      </c>
      <c r="I79">
        <v>17.151169590643281</v>
      </c>
      <c r="L79" s="1" t="s">
        <v>57</v>
      </c>
      <c r="M79" t="s">
        <v>10</v>
      </c>
      <c r="N79" t="s">
        <v>9</v>
      </c>
      <c r="O79" t="s">
        <v>180</v>
      </c>
      <c r="P79" t="s">
        <v>58</v>
      </c>
    </row>
    <row r="80" spans="1:20" x14ac:dyDescent="0.3">
      <c r="A80" s="2" t="s">
        <v>58</v>
      </c>
      <c r="B80">
        <v>43.921929824561431</v>
      </c>
      <c r="L80" s="2" t="s">
        <v>7</v>
      </c>
      <c r="M80">
        <v>73</v>
      </c>
      <c r="N80">
        <v>73</v>
      </c>
      <c r="P80">
        <v>146</v>
      </c>
    </row>
    <row r="81" spans="1:16" x14ac:dyDescent="0.3">
      <c r="L81" s="2" t="s">
        <v>13</v>
      </c>
      <c r="M81">
        <v>34</v>
      </c>
      <c r="N81">
        <v>34</v>
      </c>
      <c r="P81">
        <v>68</v>
      </c>
    </row>
    <row r="82" spans="1:16" x14ac:dyDescent="0.3">
      <c r="A82" s="51" t="s">
        <v>184</v>
      </c>
      <c r="B82" s="51"/>
      <c r="C82" s="51"/>
      <c r="D82" s="51"/>
      <c r="E82" s="51"/>
      <c r="L82" s="2" t="s">
        <v>14</v>
      </c>
      <c r="M82">
        <v>58</v>
      </c>
      <c r="N82">
        <v>61</v>
      </c>
      <c r="P82">
        <v>119</v>
      </c>
    </row>
    <row r="83" spans="1:16" x14ac:dyDescent="0.3">
      <c r="L83" s="2" t="s">
        <v>58</v>
      </c>
      <c r="M83">
        <v>165</v>
      </c>
      <c r="N83">
        <v>168</v>
      </c>
      <c r="P83">
        <v>333</v>
      </c>
    </row>
    <row r="100" spans="12:18" x14ac:dyDescent="0.3">
      <c r="L100" s="49" t="s">
        <v>116</v>
      </c>
      <c r="M100" s="50"/>
      <c r="N100" s="50"/>
      <c r="O100" s="50"/>
      <c r="P100" s="50"/>
      <c r="Q100" s="50"/>
      <c r="R100" s="50"/>
    </row>
    <row r="120" spans="9:20" x14ac:dyDescent="0.3">
      <c r="I120" s="49" t="s">
        <v>193</v>
      </c>
      <c r="J120" s="50"/>
      <c r="L120" s="49" t="s">
        <v>117</v>
      </c>
      <c r="M120" s="50"/>
      <c r="N120" s="50"/>
      <c r="O120" s="50"/>
      <c r="P120" s="50"/>
      <c r="Q120" s="50"/>
      <c r="R120" s="50"/>
      <c r="S120" s="50"/>
      <c r="T120" s="50"/>
    </row>
    <row r="121" spans="9:20" x14ac:dyDescent="0.3">
      <c r="I121" s="1" t="s">
        <v>57</v>
      </c>
      <c r="J121" t="s">
        <v>73</v>
      </c>
      <c r="L121" s="1" t="s">
        <v>57</v>
      </c>
      <c r="M121" t="s">
        <v>73</v>
      </c>
    </row>
    <row r="122" spans="9:20" x14ac:dyDescent="0.3">
      <c r="I122" s="2" t="s">
        <v>11</v>
      </c>
      <c r="J122" s="4">
        <v>0.48837209302325579</v>
      </c>
      <c r="L122" s="2" t="s">
        <v>7</v>
      </c>
      <c r="M122" s="4">
        <v>0.44186046511627908</v>
      </c>
    </row>
    <row r="123" spans="9:20" x14ac:dyDescent="0.3">
      <c r="I123" s="2" t="s">
        <v>12</v>
      </c>
      <c r="J123" s="4">
        <v>0.36046511627906974</v>
      </c>
      <c r="L123" s="2" t="s">
        <v>13</v>
      </c>
      <c r="M123" s="4">
        <v>0.19767441860465115</v>
      </c>
    </row>
    <row r="124" spans="9:20" x14ac:dyDescent="0.3">
      <c r="I124" s="2" t="s">
        <v>8</v>
      </c>
      <c r="J124" s="4">
        <v>0.15116279069767441</v>
      </c>
      <c r="L124" s="2" t="s">
        <v>14</v>
      </c>
      <c r="M124" s="4">
        <v>0.36046511627906974</v>
      </c>
    </row>
    <row r="125" spans="9:20" x14ac:dyDescent="0.3">
      <c r="I125" s="2" t="s">
        <v>58</v>
      </c>
      <c r="J125" s="4">
        <v>1</v>
      </c>
      <c r="L125" s="2" t="s">
        <v>58</v>
      </c>
      <c r="M125" s="4">
        <v>1</v>
      </c>
    </row>
    <row r="142" spans="12:18" x14ac:dyDescent="0.3">
      <c r="L142" s="49" t="s">
        <v>122</v>
      </c>
      <c r="M142" s="50"/>
      <c r="N142" s="50"/>
      <c r="O142" s="50"/>
      <c r="P142" s="50"/>
      <c r="Q142" s="50"/>
      <c r="R142" s="50"/>
    </row>
    <row r="172" spans="12:17" x14ac:dyDescent="0.3">
      <c r="L172" s="49" t="s">
        <v>118</v>
      </c>
      <c r="M172" s="50"/>
      <c r="N172" s="50"/>
      <c r="O172" s="50"/>
      <c r="P172" s="50"/>
      <c r="Q172" s="50"/>
    </row>
    <row r="173" spans="12:17" x14ac:dyDescent="0.3">
      <c r="L173" s="1" t="s">
        <v>57</v>
      </c>
      <c r="M173" t="s">
        <v>59</v>
      </c>
    </row>
    <row r="174" spans="12:17" x14ac:dyDescent="0.3">
      <c r="L174" s="2" t="s">
        <v>7</v>
      </c>
      <c r="M174">
        <v>3700.662251655629</v>
      </c>
    </row>
    <row r="175" spans="12:17" x14ac:dyDescent="0.3">
      <c r="L175" s="2" t="s">
        <v>13</v>
      </c>
      <c r="M175">
        <v>3733.0882352941176</v>
      </c>
    </row>
    <row r="176" spans="12:17" x14ac:dyDescent="0.3">
      <c r="L176" s="2" t="s">
        <v>14</v>
      </c>
      <c r="M176">
        <v>5076.0162601626016</v>
      </c>
    </row>
    <row r="177" spans="12:13" x14ac:dyDescent="0.3">
      <c r="L177" s="2" t="s">
        <v>58</v>
      </c>
      <c r="M177">
        <v>4201.7543859649122</v>
      </c>
    </row>
  </sheetData>
  <mergeCells count="34">
    <mergeCell ref="L31:P31"/>
    <mergeCell ref="L55:T55"/>
    <mergeCell ref="V62:AD62"/>
    <mergeCell ref="V63:AE63"/>
    <mergeCell ref="A1:C1"/>
    <mergeCell ref="E1:H1"/>
    <mergeCell ref="I1:L1"/>
    <mergeCell ref="A23:D23"/>
    <mergeCell ref="A16:D16"/>
    <mergeCell ref="E23:H23"/>
    <mergeCell ref="E9:H9"/>
    <mergeCell ref="A9:C9"/>
    <mergeCell ref="I9:L9"/>
    <mergeCell ref="E16:H16"/>
    <mergeCell ref="I16:M16"/>
    <mergeCell ref="A46:C46"/>
    <mergeCell ref="A31:E31"/>
    <mergeCell ref="F31:I31"/>
    <mergeCell ref="A39:D39"/>
    <mergeCell ref="E39:G39"/>
    <mergeCell ref="A53:F53"/>
    <mergeCell ref="A82:E82"/>
    <mergeCell ref="A61:C61"/>
    <mergeCell ref="A68:C68"/>
    <mergeCell ref="C69:D69"/>
    <mergeCell ref="A75:D75"/>
    <mergeCell ref="L100:R100"/>
    <mergeCell ref="L120:T120"/>
    <mergeCell ref="L142:R142"/>
    <mergeCell ref="L172:Q172"/>
    <mergeCell ref="G53:K53"/>
    <mergeCell ref="L77:T77"/>
    <mergeCell ref="G62:H62"/>
    <mergeCell ref="I120:J120"/>
  </mergeCells>
  <pageMargins left="0.7" right="0.7" top="0.75" bottom="0.75" header="0.3" footer="0.3"/>
  <drawing r:id="rId29"/>
  <extLst>
    <ext xmlns:x14="http://schemas.microsoft.com/office/spreadsheetml/2009/9/main" uri="{A8765BA9-456A-4dab-B4F3-ACF838C121DE}">
      <x14:slicerList>
        <x14:slicer r:id="rId3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777DB-5584-452B-9AFA-3F0857F33888}">
  <dimension ref="A1:H55"/>
  <sheetViews>
    <sheetView tabSelected="1" topLeftCell="A43" zoomScale="50" zoomScaleNormal="50" workbookViewId="0">
      <selection activeCell="A53" sqref="A53:H55"/>
    </sheetView>
  </sheetViews>
  <sheetFormatPr defaultRowHeight="14.4" x14ac:dyDescent="0.3"/>
  <cols>
    <col min="1" max="1" width="25.109375" customWidth="1"/>
    <col min="2" max="2" width="28.6640625" customWidth="1"/>
    <col min="3" max="3" width="32.5546875" customWidth="1"/>
    <col min="4" max="4" width="33.88671875" customWidth="1"/>
    <col min="5" max="5" width="36.5546875" customWidth="1"/>
    <col min="6" max="6" width="36.88671875" customWidth="1"/>
    <col min="7" max="7" width="39.77734375" customWidth="1"/>
    <col min="8" max="8" width="41.77734375" customWidth="1"/>
    <col min="9" max="9" width="31.21875" customWidth="1"/>
    <col min="10" max="10" width="26" customWidth="1"/>
    <col min="11" max="11" width="24.109375" customWidth="1"/>
    <col min="12" max="12" width="20.33203125" customWidth="1"/>
  </cols>
  <sheetData>
    <row r="1" spans="1:6" ht="15.6" thickTop="1" thickBot="1" x14ac:dyDescent="0.35">
      <c r="A1" s="46" t="s">
        <v>185</v>
      </c>
      <c r="B1" s="46"/>
      <c r="C1" s="46"/>
      <c r="D1" s="58" t="s">
        <v>194</v>
      </c>
      <c r="E1" s="59"/>
      <c r="F1" s="43"/>
    </row>
    <row r="2" spans="1:6" ht="15.6" thickTop="1" thickBot="1" x14ac:dyDescent="0.35">
      <c r="A2" s="46"/>
      <c r="B2" s="46"/>
      <c r="C2" s="46"/>
      <c r="D2" s="60"/>
      <c r="E2" s="59"/>
      <c r="F2" s="43"/>
    </row>
    <row r="3" spans="1:6" ht="15.6" thickTop="1" thickBot="1" x14ac:dyDescent="0.35">
      <c r="A3" s="46" t="s">
        <v>189</v>
      </c>
      <c r="B3" s="47">
        <f>AVERAGE(penguins_size!F2:F345)</f>
        <v>4201.7543859649122</v>
      </c>
      <c r="C3" s="46"/>
      <c r="D3" s="43"/>
      <c r="E3" s="43"/>
      <c r="F3" s="43"/>
    </row>
    <row r="4" spans="1:6" ht="15.6" thickTop="1" thickBot="1" x14ac:dyDescent="0.35">
      <c r="A4" s="46" t="s">
        <v>186</v>
      </c>
      <c r="B4" s="48">
        <f>MAX(penguins_size!F2:F345)</f>
        <v>6300</v>
      </c>
      <c r="C4" s="46"/>
      <c r="D4" s="43"/>
      <c r="E4" s="43"/>
      <c r="F4" s="43"/>
    </row>
    <row r="5" spans="1:6" ht="15.6" thickTop="1" thickBot="1" x14ac:dyDescent="0.35">
      <c r="A5" s="46" t="s">
        <v>187</v>
      </c>
      <c r="B5" s="47">
        <f>AVERAGE(penguins_size!E2:E345)</f>
        <v>200.91520467836258</v>
      </c>
      <c r="C5" s="46"/>
      <c r="D5" s="43"/>
      <c r="E5" s="43"/>
      <c r="F5" s="43"/>
    </row>
    <row r="6" spans="1:6" ht="15.6" thickTop="1" thickBot="1" x14ac:dyDescent="0.35">
      <c r="A6" s="46" t="s">
        <v>188</v>
      </c>
      <c r="B6" s="48">
        <f>COUNTIF(penguins_size!F2:F344,"&gt;5000")</f>
        <v>61</v>
      </c>
      <c r="C6" s="46"/>
      <c r="D6" s="43"/>
      <c r="E6" s="43"/>
      <c r="F6" s="43"/>
    </row>
    <row r="7" spans="1:6" ht="15.6" thickTop="1" thickBot="1" x14ac:dyDescent="0.35">
      <c r="A7" s="46" t="s">
        <v>190</v>
      </c>
      <c r="B7" s="46" t="s">
        <v>192</v>
      </c>
      <c r="C7" s="46"/>
      <c r="D7" s="43"/>
      <c r="E7" s="43"/>
      <c r="F7" s="43"/>
    </row>
    <row r="8" spans="1:6" ht="15" thickTop="1" x14ac:dyDescent="0.3">
      <c r="A8" s="43"/>
      <c r="B8" s="43"/>
      <c r="C8" s="43"/>
      <c r="D8" s="43"/>
      <c r="E8" s="43"/>
      <c r="F8" s="43"/>
    </row>
    <row r="9" spans="1:6" x14ac:dyDescent="0.3">
      <c r="A9" s="43"/>
      <c r="B9" s="43"/>
      <c r="C9" s="43"/>
      <c r="D9" s="43"/>
      <c r="E9" s="43"/>
      <c r="F9" s="43"/>
    </row>
    <row r="10" spans="1:6" x14ac:dyDescent="0.3">
      <c r="A10" s="43"/>
      <c r="B10" s="43"/>
      <c r="C10" s="43"/>
      <c r="D10" s="43"/>
      <c r="E10" s="43"/>
      <c r="F10" s="43"/>
    </row>
    <row r="11" spans="1:6" x14ac:dyDescent="0.3">
      <c r="A11" s="43"/>
      <c r="B11" s="43"/>
      <c r="C11" s="43"/>
      <c r="D11" s="43"/>
      <c r="E11" s="43"/>
      <c r="F11" s="43"/>
    </row>
    <row r="12" spans="1:6" x14ac:dyDescent="0.3">
      <c r="A12" s="43"/>
      <c r="B12" s="43"/>
      <c r="C12" s="43"/>
      <c r="D12" s="43"/>
      <c r="E12" s="43"/>
      <c r="F12" s="43"/>
    </row>
    <row r="13" spans="1:6" x14ac:dyDescent="0.3">
      <c r="A13" s="43"/>
      <c r="B13" s="43"/>
      <c r="C13" s="43"/>
      <c r="D13" s="43"/>
      <c r="E13" s="43"/>
      <c r="F13" s="43"/>
    </row>
    <row r="14" spans="1:6" x14ac:dyDescent="0.3">
      <c r="A14" s="43"/>
      <c r="B14" s="43"/>
      <c r="C14" s="43"/>
      <c r="D14" s="43"/>
      <c r="E14" s="43"/>
      <c r="F14" s="43"/>
    </row>
    <row r="15" spans="1:6" x14ac:dyDescent="0.3">
      <c r="A15" s="43"/>
      <c r="B15" s="43"/>
      <c r="C15" s="43"/>
      <c r="D15" s="43"/>
      <c r="E15" s="43"/>
      <c r="F15" s="43"/>
    </row>
    <row r="16" spans="1:6" x14ac:dyDescent="0.3">
      <c r="A16" s="43"/>
      <c r="B16" s="43"/>
      <c r="C16" s="43"/>
      <c r="D16" s="43"/>
      <c r="E16" s="43"/>
      <c r="F16" s="43"/>
    </row>
    <row r="17" spans="1:6" x14ac:dyDescent="0.3">
      <c r="A17" s="43"/>
      <c r="B17" s="43"/>
      <c r="C17" s="43"/>
      <c r="D17" s="43"/>
      <c r="E17" s="43"/>
      <c r="F17" s="43"/>
    </row>
    <row r="18" spans="1:6" x14ac:dyDescent="0.3">
      <c r="A18" s="43"/>
      <c r="B18" s="43"/>
      <c r="C18" s="43"/>
      <c r="D18" s="43"/>
      <c r="E18" s="43"/>
      <c r="F18" s="43"/>
    </row>
    <row r="19" spans="1:6" x14ac:dyDescent="0.3">
      <c r="A19" s="43"/>
      <c r="B19" s="43"/>
      <c r="C19" s="43"/>
      <c r="D19" s="43"/>
      <c r="E19" s="43"/>
      <c r="F19" s="43"/>
    </row>
    <row r="20" spans="1:6" x14ac:dyDescent="0.3">
      <c r="A20" s="43"/>
      <c r="B20" s="43"/>
      <c r="C20" s="43"/>
      <c r="D20" s="43"/>
      <c r="E20" s="43"/>
      <c r="F20" s="43"/>
    </row>
    <row r="21" spans="1:6" x14ac:dyDescent="0.3">
      <c r="A21" s="43"/>
      <c r="B21" s="43"/>
      <c r="C21" s="43"/>
      <c r="D21" s="43"/>
      <c r="E21" s="43"/>
      <c r="F21" s="43"/>
    </row>
    <row r="22" spans="1:6" x14ac:dyDescent="0.3">
      <c r="A22" s="43"/>
      <c r="B22" s="43"/>
      <c r="C22" s="43"/>
      <c r="D22" s="43"/>
      <c r="E22" s="43"/>
      <c r="F22" s="43"/>
    </row>
    <row r="23" spans="1:6" x14ac:dyDescent="0.3">
      <c r="A23" s="43"/>
      <c r="B23" s="43"/>
      <c r="C23" s="43"/>
      <c r="D23" s="43"/>
      <c r="E23" s="43"/>
      <c r="F23" s="43"/>
    </row>
    <row r="24" spans="1:6" x14ac:dyDescent="0.3">
      <c r="A24" s="43"/>
      <c r="B24" s="43"/>
      <c r="C24" s="43"/>
      <c r="D24" s="43"/>
      <c r="E24" s="43"/>
      <c r="F24" s="43"/>
    </row>
    <row r="25" spans="1:6" x14ac:dyDescent="0.3">
      <c r="A25" s="43"/>
      <c r="B25" s="43"/>
      <c r="C25" s="43"/>
      <c r="D25" s="43"/>
      <c r="E25" s="43"/>
      <c r="F25" s="43"/>
    </row>
    <row r="26" spans="1:6" x14ac:dyDescent="0.3">
      <c r="A26" s="43"/>
      <c r="B26" s="43"/>
      <c r="C26" s="43"/>
      <c r="D26" s="43"/>
      <c r="E26" s="43"/>
      <c r="F26" s="43"/>
    </row>
    <row r="27" spans="1:6" x14ac:dyDescent="0.3">
      <c r="A27" s="43"/>
      <c r="B27" s="43"/>
      <c r="C27" s="43"/>
      <c r="D27" s="43"/>
      <c r="E27" s="43"/>
      <c r="F27" s="43"/>
    </row>
    <row r="28" spans="1:6" x14ac:dyDescent="0.3">
      <c r="A28" s="43"/>
      <c r="B28" s="43"/>
      <c r="C28" s="43"/>
      <c r="D28" s="43"/>
      <c r="E28" s="43"/>
      <c r="F28" s="43"/>
    </row>
    <row r="29" spans="1:6" x14ac:dyDescent="0.3">
      <c r="A29" s="43"/>
      <c r="B29" s="43"/>
      <c r="C29" s="43"/>
      <c r="D29" s="43"/>
      <c r="E29" s="43"/>
      <c r="F29" s="43"/>
    </row>
    <row r="30" spans="1:6" x14ac:dyDescent="0.3">
      <c r="A30" s="43"/>
      <c r="B30" s="43"/>
      <c r="C30" s="43"/>
      <c r="D30" s="43"/>
      <c r="E30" s="43"/>
      <c r="F30" s="43"/>
    </row>
    <row r="31" spans="1:6" x14ac:dyDescent="0.3">
      <c r="A31" s="43"/>
      <c r="B31" s="43"/>
      <c r="C31" s="43"/>
      <c r="D31" s="43"/>
      <c r="E31" s="43"/>
      <c r="F31" s="43"/>
    </row>
    <row r="32" spans="1:6" x14ac:dyDescent="0.3">
      <c r="A32" s="43"/>
      <c r="B32" s="43"/>
      <c r="C32" s="43"/>
      <c r="D32" s="43"/>
      <c r="E32" s="43"/>
      <c r="F32" s="43"/>
    </row>
    <row r="33" spans="1:6" x14ac:dyDescent="0.3">
      <c r="A33" s="43"/>
      <c r="B33" s="43"/>
      <c r="C33" s="43"/>
      <c r="D33" s="43"/>
      <c r="E33" s="43"/>
      <c r="F33" s="43"/>
    </row>
    <row r="34" spans="1:6" x14ac:dyDescent="0.3">
      <c r="A34" s="43"/>
      <c r="B34" s="43"/>
      <c r="C34" s="43"/>
      <c r="D34" s="43"/>
      <c r="E34" s="43"/>
      <c r="F34" s="43"/>
    </row>
    <row r="35" spans="1:6" x14ac:dyDescent="0.3">
      <c r="A35" s="43"/>
      <c r="B35" s="43"/>
      <c r="C35" s="43"/>
      <c r="D35" s="43"/>
      <c r="E35" s="43"/>
      <c r="F35" s="43"/>
    </row>
    <row r="36" spans="1:6" x14ac:dyDescent="0.3">
      <c r="A36" s="43"/>
      <c r="B36" s="43"/>
      <c r="C36" s="43"/>
      <c r="D36" s="43"/>
      <c r="E36" s="43"/>
      <c r="F36" s="43"/>
    </row>
    <row r="37" spans="1:6" x14ac:dyDescent="0.3">
      <c r="A37" s="43"/>
      <c r="B37" s="43"/>
      <c r="C37" s="43"/>
      <c r="D37" s="43"/>
      <c r="E37" s="43"/>
      <c r="F37" s="43"/>
    </row>
    <row r="38" spans="1:6" x14ac:dyDescent="0.3">
      <c r="A38" s="43"/>
      <c r="B38" s="43"/>
      <c r="C38" s="43"/>
      <c r="D38" s="43"/>
      <c r="E38" s="43"/>
      <c r="F38" s="43"/>
    </row>
    <row r="39" spans="1:6" x14ac:dyDescent="0.3">
      <c r="A39" s="43"/>
      <c r="B39" s="43"/>
      <c r="C39" s="43"/>
      <c r="D39" s="43"/>
      <c r="E39" s="43"/>
      <c r="F39" s="43"/>
    </row>
    <row r="40" spans="1:6" x14ac:dyDescent="0.3">
      <c r="A40" s="43"/>
      <c r="B40" s="43"/>
      <c r="C40" s="43"/>
      <c r="D40" s="43"/>
      <c r="E40" s="43"/>
      <c r="F40" s="43"/>
    </row>
    <row r="41" spans="1:6" x14ac:dyDescent="0.3">
      <c r="A41" s="43"/>
      <c r="B41" s="43"/>
      <c r="C41" s="43"/>
      <c r="D41" s="43"/>
      <c r="E41" s="43"/>
      <c r="F41" s="43"/>
    </row>
    <row r="42" spans="1:6" x14ac:dyDescent="0.3">
      <c r="A42" s="43"/>
      <c r="B42" s="43"/>
      <c r="C42" s="43"/>
      <c r="D42" s="43"/>
      <c r="E42" s="43"/>
      <c r="F42" s="43"/>
    </row>
    <row r="43" spans="1:6" x14ac:dyDescent="0.3">
      <c r="A43" s="43"/>
      <c r="B43" s="43"/>
      <c r="C43" s="43"/>
      <c r="D43" s="43"/>
      <c r="E43" s="43"/>
      <c r="F43" s="43"/>
    </row>
    <row r="44" spans="1:6" x14ac:dyDescent="0.3">
      <c r="A44" s="43"/>
      <c r="B44" s="43"/>
      <c r="C44" s="43"/>
      <c r="D44" s="43"/>
      <c r="E44" s="43"/>
      <c r="F44" s="43"/>
    </row>
    <row r="53" spans="1:8" ht="409.6" customHeight="1" x14ac:dyDescent="0.3">
      <c r="A53" s="90" t="s">
        <v>195</v>
      </c>
      <c r="B53" s="90"/>
      <c r="C53" s="90"/>
      <c r="D53" s="90"/>
      <c r="E53" s="90"/>
      <c r="F53" s="90"/>
      <c r="G53" s="90"/>
      <c r="H53" s="90"/>
    </row>
    <row r="54" spans="1:8" x14ac:dyDescent="0.3">
      <c r="A54" s="90"/>
      <c r="B54" s="90"/>
      <c r="C54" s="90"/>
      <c r="D54" s="90"/>
      <c r="E54" s="90"/>
      <c r="F54" s="90"/>
      <c r="G54" s="90"/>
      <c r="H54" s="90"/>
    </row>
    <row r="55" spans="1:8" x14ac:dyDescent="0.3">
      <c r="A55" s="90"/>
      <c r="B55" s="90"/>
      <c r="C55" s="90"/>
      <c r="D55" s="90"/>
      <c r="E55" s="90"/>
      <c r="F55" s="90"/>
      <c r="G55" s="90"/>
      <c r="H55" s="90"/>
    </row>
  </sheetData>
  <mergeCells count="2">
    <mergeCell ref="D1:E2"/>
    <mergeCell ref="A53:H5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7D00D-224A-454A-B7B6-ECA23F4D0BE1}">
  <sheetPr>
    <tabColor theme="0"/>
  </sheetPr>
  <dimension ref="A1:AQ345"/>
  <sheetViews>
    <sheetView topLeftCell="N1" zoomScale="70" zoomScaleNormal="70" workbookViewId="0">
      <pane ySplit="1" topLeftCell="A34" activePane="bottomLeft" state="frozen"/>
      <selection pane="bottomLeft" activeCell="X64" sqref="X64"/>
    </sheetView>
  </sheetViews>
  <sheetFormatPr defaultRowHeight="14.4" x14ac:dyDescent="0.3"/>
  <cols>
    <col min="1" max="1" width="8.88671875" style="12"/>
    <col min="2" max="2" width="11.33203125" style="12" customWidth="1"/>
    <col min="3" max="3" width="19.77734375" style="12" customWidth="1"/>
    <col min="4" max="5" width="19.44140625" style="12" customWidth="1"/>
    <col min="6" max="6" width="14.44140625" style="12" customWidth="1"/>
    <col min="7" max="8" width="16" style="12" customWidth="1"/>
    <col min="9" max="9" width="27.88671875" style="12" customWidth="1"/>
    <col min="10" max="10" width="14.6640625" style="12" customWidth="1"/>
    <col min="11" max="11" width="10.77734375" style="12" customWidth="1"/>
    <col min="12" max="12" width="12.6640625" style="12" customWidth="1"/>
    <col min="13" max="13" width="9.6640625" style="12" customWidth="1"/>
    <col min="14" max="14" width="11.77734375" style="12" customWidth="1"/>
    <col min="15" max="15" width="14.6640625" style="12" customWidth="1"/>
    <col min="16" max="17" width="16.88671875" style="12" customWidth="1"/>
    <col min="18" max="18" width="17.88671875" style="14" customWidth="1"/>
    <col min="19" max="19" width="13.21875" style="14" customWidth="1"/>
    <col min="20" max="20" width="14.33203125" style="14" customWidth="1"/>
    <col min="21" max="21" width="8.88671875" style="14"/>
    <col min="22" max="22" width="6.88671875" style="14" customWidth="1"/>
    <col min="23" max="23" width="14.88671875" style="14" customWidth="1"/>
    <col min="24" max="16384" width="8.88671875" style="14"/>
  </cols>
  <sheetData>
    <row r="1" spans="1:43" s="11" customFormat="1" x14ac:dyDescent="0.3">
      <c r="A1" s="11" t="s">
        <v>0</v>
      </c>
      <c r="B1" s="11" t="s">
        <v>1</v>
      </c>
      <c r="C1" s="11" t="s">
        <v>2</v>
      </c>
      <c r="D1" s="11" t="s">
        <v>3</v>
      </c>
      <c r="E1" s="11" t="s">
        <v>4</v>
      </c>
      <c r="F1" s="11" t="s">
        <v>5</v>
      </c>
      <c r="G1" s="11" t="s">
        <v>6</v>
      </c>
      <c r="H1" s="35" t="s">
        <v>144</v>
      </c>
      <c r="I1" s="35" t="s">
        <v>126</v>
      </c>
      <c r="J1" s="34" t="s">
        <v>132</v>
      </c>
      <c r="K1" s="34" t="s">
        <v>142</v>
      </c>
      <c r="L1" s="34" t="s">
        <v>137</v>
      </c>
      <c r="M1" s="34" t="s">
        <v>138</v>
      </c>
      <c r="N1" s="34" t="s">
        <v>133</v>
      </c>
      <c r="O1" s="34" t="s">
        <v>143</v>
      </c>
      <c r="P1" s="34" t="s">
        <v>150</v>
      </c>
      <c r="Q1" s="34" t="s">
        <v>182</v>
      </c>
      <c r="R1" s="12"/>
      <c r="S1" s="12"/>
      <c r="T1" s="12"/>
      <c r="U1" s="12"/>
      <c r="V1" s="12"/>
      <c r="W1" s="12"/>
      <c r="X1" s="12"/>
      <c r="Y1" s="12"/>
      <c r="Z1" s="12"/>
      <c r="AA1" s="12"/>
      <c r="AB1" s="12"/>
      <c r="AC1" s="12"/>
      <c r="AD1" s="12"/>
      <c r="AE1" s="12"/>
      <c r="AF1" s="12"/>
    </row>
    <row r="2" spans="1:43" x14ac:dyDescent="0.3">
      <c r="A2" s="12" t="s">
        <v>14</v>
      </c>
      <c r="B2" s="12" t="s">
        <v>11</v>
      </c>
      <c r="C2" s="12">
        <v>49.2</v>
      </c>
      <c r="D2" s="12">
        <v>15.2</v>
      </c>
      <c r="E2" s="12">
        <v>221</v>
      </c>
      <c r="F2" s="12">
        <v>6300</v>
      </c>
      <c r="G2" s="12" t="s">
        <v>9</v>
      </c>
      <c r="H2" s="12" t="str">
        <f t="shared" ref="H2:H65" si="0">IF(AND(A2="Gentoo"),"5125",IF(AND(A2="Chinstrap"),"3750",IF(AND(A2="Adelie"),"3812.5")))</f>
        <v>5125</v>
      </c>
      <c r="I2" s="12" t="str">
        <f t="shared" ref="I2:I65" si="1">IF(AND(A2="Gentoo",F2&gt;5125),"Yes",
   IF(AND(A2="Chinstrap",F2&gt;3750),"Yes",
   IF(AND(A2="Adelie",F2&gt;3812.5),"Yes","No")))</f>
        <v>Yes</v>
      </c>
      <c r="J2" s="32" t="s">
        <v>7</v>
      </c>
      <c r="K2" s="32" t="s">
        <v>134</v>
      </c>
      <c r="L2" s="32" t="s">
        <v>11</v>
      </c>
      <c r="M2" s="32" t="s">
        <v>139</v>
      </c>
      <c r="N2" s="32" t="str">
        <f t="shared" ref="N2:N33" si="2">VLOOKUP(A2,$J$2:$K$4,2,FALSE)</f>
        <v>Large</v>
      </c>
      <c r="O2" s="32" t="str">
        <f t="shared" ref="O2:O65" si="3">VLOOKUP(B2,$L$2:$M$4,2,FALSE)</f>
        <v>West</v>
      </c>
      <c r="P2" s="32">
        <f t="shared" ref="P2:P65" si="4">IF(F2&gt;5000,3,IF(F2&gt;4000,2,1))</f>
        <v>3</v>
      </c>
      <c r="Q2" s="32">
        <f t="shared" ref="Q2:Q65" si="5">ROUND((F2+E2+C2)/3,2)</f>
        <v>2190.0700000000002</v>
      </c>
      <c r="R2" s="61" t="s">
        <v>18</v>
      </c>
      <c r="S2" s="61"/>
      <c r="T2" s="78" t="s">
        <v>42</v>
      </c>
      <c r="U2" s="78"/>
      <c r="V2" s="78"/>
      <c r="W2" s="66" t="s">
        <v>41</v>
      </c>
      <c r="X2" s="66"/>
      <c r="Y2" s="66"/>
      <c r="Z2" s="81"/>
      <c r="AA2" s="81"/>
      <c r="AB2" s="81"/>
      <c r="AC2" s="81"/>
      <c r="AD2" s="81"/>
      <c r="AE2" s="81"/>
      <c r="AF2" s="81"/>
      <c r="AG2" s="81"/>
      <c r="AH2" s="81"/>
      <c r="AI2" s="80" t="s">
        <v>112</v>
      </c>
      <c r="AJ2" s="81"/>
      <c r="AK2" s="81"/>
      <c r="AL2" s="81"/>
      <c r="AM2" s="81"/>
      <c r="AN2" s="81"/>
    </row>
    <row r="3" spans="1:43" x14ac:dyDescent="0.3">
      <c r="A3" s="12" t="s">
        <v>14</v>
      </c>
      <c r="B3" s="12" t="s">
        <v>11</v>
      </c>
      <c r="C3" s="12">
        <v>59.6</v>
      </c>
      <c r="D3" s="12">
        <v>17</v>
      </c>
      <c r="E3" s="12">
        <v>230</v>
      </c>
      <c r="F3" s="12">
        <v>6050</v>
      </c>
      <c r="G3" s="12" t="s">
        <v>9</v>
      </c>
      <c r="H3" s="12" t="str">
        <f t="shared" si="0"/>
        <v>5125</v>
      </c>
      <c r="I3" s="12" t="str">
        <f t="shared" si="1"/>
        <v>Yes</v>
      </c>
      <c r="J3" s="12" t="s">
        <v>13</v>
      </c>
      <c r="K3" s="12" t="s">
        <v>135</v>
      </c>
      <c r="L3" s="12" t="s">
        <v>12</v>
      </c>
      <c r="M3" s="12" t="s">
        <v>140</v>
      </c>
      <c r="N3" s="12" t="str">
        <f t="shared" si="2"/>
        <v>Large</v>
      </c>
      <c r="O3" s="12" t="str">
        <f t="shared" si="3"/>
        <v>West</v>
      </c>
      <c r="P3" s="12">
        <f t="shared" si="4"/>
        <v>3</v>
      </c>
      <c r="Q3" s="12">
        <f t="shared" si="5"/>
        <v>2113.1999999999998</v>
      </c>
      <c r="R3" s="14">
        <f>COUNTIF(G:G,"Male")</f>
        <v>168</v>
      </c>
      <c r="S3" s="14" t="s">
        <v>15</v>
      </c>
      <c r="T3" s="79" t="s">
        <v>25</v>
      </c>
      <c r="U3" s="79"/>
      <c r="V3" s="79"/>
      <c r="W3" s="15" t="s">
        <v>8</v>
      </c>
      <c r="Z3" s="62"/>
      <c r="AA3" s="63"/>
      <c r="AB3" s="63"/>
      <c r="AC3" s="63"/>
      <c r="AD3" s="63"/>
      <c r="AE3" s="63"/>
      <c r="AF3" s="63"/>
      <c r="AG3" s="63"/>
      <c r="AH3" s="63"/>
      <c r="AI3" s="80" t="s">
        <v>68</v>
      </c>
      <c r="AJ3" s="80"/>
      <c r="AK3" s="80"/>
      <c r="AL3" s="80"/>
      <c r="AM3" s="80"/>
      <c r="AN3" s="80"/>
      <c r="AO3" s="80"/>
    </row>
    <row r="4" spans="1:43" x14ac:dyDescent="0.3">
      <c r="A4" s="12" t="s">
        <v>14</v>
      </c>
      <c r="B4" s="12" t="s">
        <v>11</v>
      </c>
      <c r="C4" s="12">
        <v>51.1</v>
      </c>
      <c r="D4" s="12">
        <v>16.3</v>
      </c>
      <c r="E4" s="12">
        <v>220</v>
      </c>
      <c r="F4" s="12">
        <v>6000</v>
      </c>
      <c r="G4" s="12" t="s">
        <v>9</v>
      </c>
      <c r="H4" s="12" t="str">
        <f t="shared" si="0"/>
        <v>5125</v>
      </c>
      <c r="I4" s="12" t="str">
        <f t="shared" si="1"/>
        <v>Yes</v>
      </c>
      <c r="J4" s="12" t="s">
        <v>14</v>
      </c>
      <c r="K4" s="12" t="s">
        <v>136</v>
      </c>
      <c r="L4" s="12" t="s">
        <v>8</v>
      </c>
      <c r="M4" s="12" t="s">
        <v>141</v>
      </c>
      <c r="N4" s="12" t="str">
        <f t="shared" si="2"/>
        <v>Large</v>
      </c>
      <c r="O4" s="12" t="str">
        <f t="shared" si="3"/>
        <v>West</v>
      </c>
      <c r="P4" s="12">
        <f t="shared" si="4"/>
        <v>3</v>
      </c>
      <c r="Q4" s="12">
        <f t="shared" si="5"/>
        <v>2090.37</v>
      </c>
      <c r="R4" s="14">
        <f>COUNTIF(G:G,"FEMALE")</f>
        <v>165</v>
      </c>
      <c r="S4" s="14" t="s">
        <v>16</v>
      </c>
      <c r="T4" s="14">
        <f>COUNTIFS(A:A,"Adelie",G:G,"Male")</f>
        <v>73</v>
      </c>
      <c r="U4" s="63" t="s">
        <v>7</v>
      </c>
      <c r="V4" s="63"/>
      <c r="W4" s="14">
        <f>COUNTIFS(B:B,"Torgersen",G:G,"MALE")</f>
        <v>23</v>
      </c>
      <c r="X4" s="14" t="s">
        <v>9</v>
      </c>
      <c r="Z4" s="63"/>
      <c r="AA4" s="63"/>
      <c r="AB4" s="63"/>
      <c r="AC4" s="63"/>
      <c r="AD4" s="63"/>
      <c r="AE4" s="63"/>
      <c r="AF4" s="63"/>
      <c r="AG4" s="63"/>
      <c r="AH4" s="63"/>
      <c r="AI4" s="82" t="s">
        <v>60</v>
      </c>
      <c r="AJ4" s="82"/>
      <c r="AK4" s="82"/>
      <c r="AL4" s="82"/>
      <c r="AM4" s="82"/>
      <c r="AN4" s="82"/>
      <c r="AO4" s="82"/>
      <c r="AP4" s="82"/>
    </row>
    <row r="5" spans="1:43" x14ac:dyDescent="0.3">
      <c r="A5" s="12" t="s">
        <v>14</v>
      </c>
      <c r="B5" s="12" t="s">
        <v>11</v>
      </c>
      <c r="C5" s="12">
        <v>48.8</v>
      </c>
      <c r="D5" s="12">
        <v>16.2</v>
      </c>
      <c r="E5" s="12">
        <v>222</v>
      </c>
      <c r="F5" s="12">
        <v>6000</v>
      </c>
      <c r="G5" s="12" t="s">
        <v>9</v>
      </c>
      <c r="H5" s="12" t="str">
        <f t="shared" si="0"/>
        <v>5125</v>
      </c>
      <c r="I5" s="12" t="str">
        <f t="shared" si="1"/>
        <v>Yes</v>
      </c>
      <c r="N5" s="12" t="str">
        <f t="shared" si="2"/>
        <v>Large</v>
      </c>
      <c r="O5" s="12" t="str">
        <f t="shared" si="3"/>
        <v>West</v>
      </c>
      <c r="P5" s="12">
        <f t="shared" si="4"/>
        <v>3</v>
      </c>
      <c r="Q5" s="12">
        <f t="shared" si="5"/>
        <v>2090.27</v>
      </c>
      <c r="R5" s="14">
        <f>COUNTA(G1:G344)</f>
        <v>334</v>
      </c>
      <c r="S5" s="14" t="s">
        <v>17</v>
      </c>
      <c r="T5" s="14">
        <f>COUNTIFS(A:A,"Chinstrap",G:G,"Male")</f>
        <v>34</v>
      </c>
      <c r="U5" s="63" t="s">
        <v>13</v>
      </c>
      <c r="V5" s="63"/>
      <c r="W5" s="14">
        <f>COUNTIFS(B:B,"Torgersen",G:G,"FEMALE")</f>
        <v>24</v>
      </c>
      <c r="X5" s="14" t="s">
        <v>10</v>
      </c>
      <c r="Z5" s="63"/>
      <c r="AA5" s="63"/>
      <c r="AB5" s="63"/>
      <c r="AC5" s="63"/>
      <c r="AD5" s="63"/>
      <c r="AE5" s="63"/>
      <c r="AF5" s="63"/>
      <c r="AG5" s="63"/>
      <c r="AH5" s="63"/>
      <c r="AI5" s="63" t="s">
        <v>85</v>
      </c>
      <c r="AJ5" s="63"/>
      <c r="AK5" s="63"/>
      <c r="AL5" s="63"/>
      <c r="AM5" s="63"/>
      <c r="AN5" s="63"/>
      <c r="AO5" s="63"/>
    </row>
    <row r="6" spans="1:43" x14ac:dyDescent="0.3">
      <c r="A6" s="12" t="s">
        <v>14</v>
      </c>
      <c r="B6" s="12" t="s">
        <v>11</v>
      </c>
      <c r="C6" s="12">
        <v>45.2</v>
      </c>
      <c r="D6" s="12">
        <v>16.399999999999999</v>
      </c>
      <c r="E6" s="12">
        <v>223</v>
      </c>
      <c r="F6" s="12">
        <v>5950</v>
      </c>
      <c r="G6" s="12" t="s">
        <v>9</v>
      </c>
      <c r="H6" s="12" t="str">
        <f t="shared" si="0"/>
        <v>5125</v>
      </c>
      <c r="I6" s="12" t="str">
        <f t="shared" si="1"/>
        <v>Yes</v>
      </c>
      <c r="N6" s="12" t="str">
        <f t="shared" si="2"/>
        <v>Large</v>
      </c>
      <c r="O6" s="12" t="str">
        <f t="shared" si="3"/>
        <v>West</v>
      </c>
      <c r="P6" s="12">
        <f t="shared" si="4"/>
        <v>3</v>
      </c>
      <c r="Q6" s="12">
        <f t="shared" si="5"/>
        <v>2072.73</v>
      </c>
      <c r="R6" s="14">
        <v>11</v>
      </c>
      <c r="S6" s="14" t="s">
        <v>31</v>
      </c>
      <c r="T6" s="14">
        <f>COUNTIFS(A:A,"Gentoo",G:G,"Male")</f>
        <v>61</v>
      </c>
      <c r="U6" s="63" t="s">
        <v>14</v>
      </c>
      <c r="V6" s="63"/>
      <c r="W6" s="14">
        <f>COUNTIFS(B:B,"Torgersen",G:G,"")</f>
        <v>5</v>
      </c>
      <c r="X6" s="14" t="s">
        <v>45</v>
      </c>
      <c r="Z6" s="63"/>
      <c r="AA6" s="63"/>
      <c r="AB6" s="63"/>
      <c r="AC6" s="63"/>
      <c r="AD6" s="63"/>
      <c r="AE6" s="63"/>
      <c r="AF6" s="63"/>
      <c r="AG6" s="63"/>
      <c r="AH6" s="63"/>
      <c r="AI6" s="63" t="s">
        <v>87</v>
      </c>
      <c r="AJ6" s="63"/>
      <c r="AK6" s="63"/>
      <c r="AL6" s="63"/>
      <c r="AM6" s="63"/>
      <c r="AN6" s="63"/>
      <c r="AO6" s="63"/>
    </row>
    <row r="7" spans="1:43" x14ac:dyDescent="0.3">
      <c r="A7" s="12" t="s">
        <v>14</v>
      </c>
      <c r="B7" s="12" t="s">
        <v>11</v>
      </c>
      <c r="C7" s="12">
        <v>49.8</v>
      </c>
      <c r="D7" s="12">
        <v>15.9</v>
      </c>
      <c r="E7" s="12">
        <v>229</v>
      </c>
      <c r="F7" s="12">
        <v>5950</v>
      </c>
      <c r="G7" s="12" t="s">
        <v>9</v>
      </c>
      <c r="H7" s="12" t="str">
        <f t="shared" si="0"/>
        <v>5125</v>
      </c>
      <c r="I7" s="12" t="str">
        <f t="shared" si="1"/>
        <v>Yes</v>
      </c>
      <c r="N7" s="12" t="str">
        <f t="shared" si="2"/>
        <v>Large</v>
      </c>
      <c r="O7" s="12" t="str">
        <f t="shared" si="3"/>
        <v>West</v>
      </c>
      <c r="P7" s="12">
        <f t="shared" si="4"/>
        <v>3</v>
      </c>
      <c r="Q7" s="12">
        <f t="shared" si="5"/>
        <v>2076.27</v>
      </c>
      <c r="R7" s="61" t="s">
        <v>19</v>
      </c>
      <c r="S7" s="61"/>
      <c r="T7" s="79" t="s">
        <v>26</v>
      </c>
      <c r="U7" s="79"/>
      <c r="V7" s="79"/>
      <c r="Z7" s="63"/>
      <c r="AA7" s="63"/>
      <c r="AB7" s="63"/>
      <c r="AC7" s="63"/>
      <c r="AD7" s="63"/>
      <c r="AE7" s="63"/>
      <c r="AF7" s="63"/>
      <c r="AG7" s="63"/>
      <c r="AH7" s="63"/>
      <c r="AI7" s="82" t="s">
        <v>62</v>
      </c>
      <c r="AJ7" s="63"/>
      <c r="AK7" s="63"/>
      <c r="AL7" s="63"/>
      <c r="AM7" s="63"/>
      <c r="AN7" s="63"/>
      <c r="AO7" s="63"/>
    </row>
    <row r="8" spans="1:43" x14ac:dyDescent="0.3">
      <c r="A8" s="12" t="s">
        <v>14</v>
      </c>
      <c r="B8" s="12" t="s">
        <v>11</v>
      </c>
      <c r="C8" s="12">
        <v>48.4</v>
      </c>
      <c r="D8" s="12">
        <v>14.6</v>
      </c>
      <c r="E8" s="12">
        <v>213</v>
      </c>
      <c r="F8" s="12">
        <v>5850</v>
      </c>
      <c r="G8" s="12" t="s">
        <v>9</v>
      </c>
      <c r="H8" s="12" t="str">
        <f t="shared" si="0"/>
        <v>5125</v>
      </c>
      <c r="I8" s="12" t="str">
        <f t="shared" si="1"/>
        <v>Yes</v>
      </c>
      <c r="N8" s="12" t="str">
        <f t="shared" si="2"/>
        <v>Large</v>
      </c>
      <c r="O8" s="12" t="str">
        <f t="shared" si="3"/>
        <v>West</v>
      </c>
      <c r="P8" s="12">
        <f t="shared" si="4"/>
        <v>3</v>
      </c>
      <c r="Q8" s="12">
        <f t="shared" si="5"/>
        <v>2037.13</v>
      </c>
      <c r="R8" s="14">
        <f>COUNTIF(B:B,"Torgersen")</f>
        <v>52</v>
      </c>
      <c r="S8" s="14" t="s">
        <v>8</v>
      </c>
      <c r="T8" s="14">
        <f>COUNTIFS(A:A,"Adelie",G:G,"Female")</f>
        <v>73</v>
      </c>
      <c r="U8" s="63" t="s">
        <v>7</v>
      </c>
      <c r="V8" s="63"/>
      <c r="W8" s="18" t="s">
        <v>11</v>
      </c>
      <c r="Z8" s="71" t="s">
        <v>151</v>
      </c>
      <c r="AA8" s="72"/>
      <c r="AB8" s="72"/>
      <c r="AC8" s="72"/>
      <c r="AD8" s="73"/>
      <c r="AE8" s="36" t="str">
        <f>VLOOKUP(A2,$J$2:$K$4,2,FALSE)</f>
        <v>Large</v>
      </c>
      <c r="AF8" s="36"/>
      <c r="AG8" s="36"/>
      <c r="AH8" s="36"/>
      <c r="AI8" s="63" t="s">
        <v>61</v>
      </c>
      <c r="AJ8" s="63"/>
      <c r="AK8" s="63"/>
      <c r="AL8" s="63"/>
      <c r="AM8" s="63"/>
      <c r="AN8" s="63"/>
      <c r="AO8" s="63"/>
    </row>
    <row r="9" spans="1:43" x14ac:dyDescent="0.3">
      <c r="A9" s="12" t="s">
        <v>14</v>
      </c>
      <c r="B9" s="12" t="s">
        <v>11</v>
      </c>
      <c r="C9" s="12">
        <v>49.3</v>
      </c>
      <c r="D9" s="12">
        <v>15.7</v>
      </c>
      <c r="E9" s="12">
        <v>217</v>
      </c>
      <c r="F9" s="12">
        <v>5850</v>
      </c>
      <c r="G9" s="12" t="s">
        <v>9</v>
      </c>
      <c r="H9" s="12" t="str">
        <f t="shared" si="0"/>
        <v>5125</v>
      </c>
      <c r="I9" s="12" t="str">
        <f t="shared" si="1"/>
        <v>Yes</v>
      </c>
      <c r="N9" s="12" t="str">
        <f t="shared" si="2"/>
        <v>Large</v>
      </c>
      <c r="O9" s="12" t="str">
        <f t="shared" si="3"/>
        <v>West</v>
      </c>
      <c r="P9" s="12">
        <f t="shared" si="4"/>
        <v>3</v>
      </c>
      <c r="Q9" s="12">
        <f t="shared" si="5"/>
        <v>2038.77</v>
      </c>
      <c r="R9" s="14">
        <f>COUNTIF(B:B,"Biscoe")</f>
        <v>168</v>
      </c>
      <c r="S9" s="14" t="s">
        <v>11</v>
      </c>
      <c r="T9" s="14">
        <f>COUNTIFS(A:A,"Chinstrap",G:G,"Female")</f>
        <v>34</v>
      </c>
      <c r="U9" s="63" t="s">
        <v>52</v>
      </c>
      <c r="V9" s="63"/>
      <c r="W9" s="14">
        <f>COUNTIFS(B:B,"Biscoe",G:G,"MALE")</f>
        <v>83</v>
      </c>
      <c r="X9" s="14" t="s">
        <v>9</v>
      </c>
      <c r="Z9" s="75" t="s">
        <v>152</v>
      </c>
      <c r="AA9" s="74"/>
      <c r="AB9" s="74"/>
      <c r="AC9" s="74"/>
      <c r="AD9" s="76"/>
      <c r="AE9" s="14" t="str">
        <f>VLOOKUP("Dream",$L$2:$M$4,2,FALSE)</f>
        <v>Central</v>
      </c>
      <c r="AI9" s="63" t="s">
        <v>63</v>
      </c>
      <c r="AJ9" s="63"/>
      <c r="AK9" s="63"/>
      <c r="AL9" s="63"/>
      <c r="AM9" s="63"/>
      <c r="AN9" s="63"/>
      <c r="AO9" s="63"/>
    </row>
    <row r="10" spans="1:43" x14ac:dyDescent="0.3">
      <c r="A10" s="12" t="s">
        <v>14</v>
      </c>
      <c r="B10" s="12" t="s">
        <v>11</v>
      </c>
      <c r="C10" s="12">
        <v>55.1</v>
      </c>
      <c r="D10" s="12">
        <v>16</v>
      </c>
      <c r="E10" s="12">
        <v>230</v>
      </c>
      <c r="F10" s="12">
        <v>5850</v>
      </c>
      <c r="G10" s="12" t="s">
        <v>9</v>
      </c>
      <c r="H10" s="12" t="str">
        <f t="shared" si="0"/>
        <v>5125</v>
      </c>
      <c r="I10" s="12" t="str">
        <f t="shared" si="1"/>
        <v>Yes</v>
      </c>
      <c r="N10" s="12" t="str">
        <f t="shared" si="2"/>
        <v>Large</v>
      </c>
      <c r="O10" s="12" t="str">
        <f t="shared" si="3"/>
        <v>West</v>
      </c>
      <c r="P10" s="12">
        <f t="shared" si="4"/>
        <v>3</v>
      </c>
      <c r="Q10" s="12">
        <f t="shared" si="5"/>
        <v>2045.03</v>
      </c>
      <c r="R10" s="14">
        <f>COUNTIF(B:B,"Dream")</f>
        <v>124</v>
      </c>
      <c r="S10" s="14" t="s">
        <v>12</v>
      </c>
      <c r="T10" s="14">
        <f>COUNTIFS(A:A,"Gentoo",G:G,"Female")</f>
        <v>58</v>
      </c>
      <c r="U10" s="63" t="s">
        <v>14</v>
      </c>
      <c r="V10" s="63"/>
      <c r="W10" s="14">
        <f>COUNTIFS(B:B,"Biscoe",G:G,"FEMALE")</f>
        <v>80</v>
      </c>
      <c r="X10" s="14" t="s">
        <v>10</v>
      </c>
      <c r="Z10" s="75" t="s">
        <v>153</v>
      </c>
      <c r="AA10" s="74"/>
      <c r="AB10" s="74"/>
      <c r="AC10" s="74"/>
      <c r="AD10" s="76"/>
      <c r="AE10" s="14" t="str">
        <f>VLOOKUP("Chinstrap",$J$2:$K$4,2,FALSE)</f>
        <v>Medium</v>
      </c>
      <c r="AI10" s="63" t="s">
        <v>64</v>
      </c>
      <c r="AJ10" s="63"/>
      <c r="AK10" s="63"/>
      <c r="AL10" s="63"/>
      <c r="AM10" s="63"/>
      <c r="AN10" s="63"/>
      <c r="AO10" s="63"/>
    </row>
    <row r="11" spans="1:43" x14ac:dyDescent="0.3">
      <c r="A11" s="12" t="s">
        <v>14</v>
      </c>
      <c r="B11" s="12" t="s">
        <v>11</v>
      </c>
      <c r="C11" s="12">
        <v>49.5</v>
      </c>
      <c r="D11" s="12">
        <v>16.2</v>
      </c>
      <c r="E11" s="12">
        <v>229</v>
      </c>
      <c r="F11" s="12">
        <v>5800</v>
      </c>
      <c r="G11" s="12" t="s">
        <v>9</v>
      </c>
      <c r="H11" s="12" t="str">
        <f t="shared" si="0"/>
        <v>5125</v>
      </c>
      <c r="I11" s="12" t="str">
        <f t="shared" si="1"/>
        <v>Yes</v>
      </c>
      <c r="N11" s="12" t="str">
        <f t="shared" si="2"/>
        <v>Large</v>
      </c>
      <c r="O11" s="12" t="str">
        <f t="shared" si="3"/>
        <v>West</v>
      </c>
      <c r="P11" s="12">
        <f t="shared" si="4"/>
        <v>3</v>
      </c>
      <c r="Q11" s="12">
        <f t="shared" si="5"/>
        <v>2026.17</v>
      </c>
      <c r="R11" s="14">
        <f>COUNTA(B2:B345)</f>
        <v>344</v>
      </c>
      <c r="S11" s="14" t="s">
        <v>17</v>
      </c>
      <c r="T11" s="77" t="s">
        <v>44</v>
      </c>
      <c r="U11" s="77"/>
      <c r="V11" s="77"/>
      <c r="W11" s="14">
        <f>COUNTIFS(B:B,"Biscoe",G:G,"")</f>
        <v>5</v>
      </c>
      <c r="X11" s="14" t="s">
        <v>45</v>
      </c>
      <c r="Z11" s="75" t="s">
        <v>154</v>
      </c>
      <c r="AA11" s="74"/>
      <c r="AB11" s="74"/>
      <c r="AC11" s="74"/>
      <c r="AD11" s="74"/>
      <c r="AE11" s="38" t="str">
        <f>VLOOKUP("BISCOE",$L$2:$M$4,2,FALSE)</f>
        <v>West</v>
      </c>
      <c r="AF11" s="38"/>
      <c r="AG11" s="38"/>
      <c r="AH11" s="39"/>
      <c r="AI11" s="63" t="s">
        <v>65</v>
      </c>
      <c r="AJ11" s="63"/>
      <c r="AK11" s="63"/>
      <c r="AL11" s="63"/>
      <c r="AM11" s="63"/>
      <c r="AN11" s="63"/>
      <c r="AO11" s="63"/>
    </row>
    <row r="12" spans="1:43" x14ac:dyDescent="0.3">
      <c r="A12" s="12" t="s">
        <v>14</v>
      </c>
      <c r="B12" s="12" t="s">
        <v>11</v>
      </c>
      <c r="C12" s="12">
        <v>48.6</v>
      </c>
      <c r="D12" s="12">
        <v>16</v>
      </c>
      <c r="E12" s="12">
        <v>230</v>
      </c>
      <c r="F12" s="12">
        <v>5800</v>
      </c>
      <c r="G12" s="12" t="s">
        <v>9</v>
      </c>
      <c r="H12" s="12" t="str">
        <f t="shared" si="0"/>
        <v>5125</v>
      </c>
      <c r="I12" s="12" t="str">
        <f t="shared" si="1"/>
        <v>Yes</v>
      </c>
      <c r="N12" s="12" t="str">
        <f t="shared" si="2"/>
        <v>Large</v>
      </c>
      <c r="O12" s="12" t="str">
        <f t="shared" si="3"/>
        <v>West</v>
      </c>
      <c r="P12" s="12">
        <f t="shared" si="4"/>
        <v>3</v>
      </c>
      <c r="Q12" s="12">
        <f t="shared" si="5"/>
        <v>2026.2</v>
      </c>
      <c r="R12" s="14">
        <v>0</v>
      </c>
      <c r="S12" s="14" t="s">
        <v>31</v>
      </c>
      <c r="T12" s="65" t="s">
        <v>27</v>
      </c>
      <c r="U12" s="65"/>
      <c r="V12" s="12"/>
      <c r="W12" s="18" t="s">
        <v>12</v>
      </c>
      <c r="Z12" s="75" t="s">
        <v>155</v>
      </c>
      <c r="AA12" s="74"/>
      <c r="AB12" s="74"/>
      <c r="AC12" s="74"/>
      <c r="AD12" s="74"/>
      <c r="AE12" s="74"/>
      <c r="AF12" s="38" t="str">
        <f>VLOOKUP("Adelie",$J$2:$K$4,2,FALSE)</f>
        <v>Small</v>
      </c>
      <c r="AG12" s="38" t="str">
        <f>VLOOKUP("Torgersen",$L$2:$M$4,2,FALSE)</f>
        <v>East</v>
      </c>
      <c r="AH12" s="39"/>
      <c r="AI12" s="63" t="s">
        <v>66</v>
      </c>
      <c r="AJ12" s="63"/>
      <c r="AK12" s="63"/>
      <c r="AL12" s="63"/>
      <c r="AM12" s="63"/>
      <c r="AN12" s="63"/>
      <c r="AO12" s="63"/>
    </row>
    <row r="13" spans="1:43" x14ac:dyDescent="0.3">
      <c r="A13" s="12" t="s">
        <v>14</v>
      </c>
      <c r="B13" s="12" t="s">
        <v>11</v>
      </c>
      <c r="C13" s="12">
        <v>50.4</v>
      </c>
      <c r="D13" s="12">
        <v>15.7</v>
      </c>
      <c r="E13" s="12">
        <v>222</v>
      </c>
      <c r="F13" s="12">
        <v>5750</v>
      </c>
      <c r="G13" s="12" t="s">
        <v>9</v>
      </c>
      <c r="H13" s="12" t="str">
        <f t="shared" si="0"/>
        <v>5125</v>
      </c>
      <c r="I13" s="12" t="str">
        <f t="shared" si="1"/>
        <v>Yes</v>
      </c>
      <c r="N13" s="12" t="str">
        <f t="shared" si="2"/>
        <v>Large</v>
      </c>
      <c r="O13" s="12" t="str">
        <f t="shared" si="3"/>
        <v>West</v>
      </c>
      <c r="P13" s="12">
        <f t="shared" si="4"/>
        <v>3</v>
      </c>
      <c r="Q13" s="12">
        <f t="shared" si="5"/>
        <v>2007.47</v>
      </c>
      <c r="R13" s="61" t="s">
        <v>20</v>
      </c>
      <c r="S13" s="61"/>
      <c r="T13" s="14">
        <f>COUNTIFS(A:A,"Adelie",G:G,"")</f>
        <v>6</v>
      </c>
      <c r="V13" s="12"/>
      <c r="W13" s="14">
        <f>COUNTIFS(B:B,"Dream",G:G,"MALE")</f>
        <v>62</v>
      </c>
      <c r="X13" s="14" t="s">
        <v>9</v>
      </c>
      <c r="Z13" s="75" t="s">
        <v>149</v>
      </c>
      <c r="AA13" s="74"/>
      <c r="AB13" s="74"/>
      <c r="AC13" s="74"/>
      <c r="AD13" s="74"/>
      <c r="AE13" s="74"/>
      <c r="AF13" s="74" t="str">
        <f>VLOOKUP("Adelie",$J$2:$K$4,2,FALSE) &amp; " | " &amp; VLOOKUP("Torgersen",$L$2:$M$4,2,FALSE)</f>
        <v>Small | East</v>
      </c>
      <c r="AG13" s="74"/>
      <c r="AH13" s="39"/>
      <c r="AI13" s="82" t="s">
        <v>97</v>
      </c>
      <c r="AJ13" s="82"/>
      <c r="AK13" s="82"/>
      <c r="AL13" s="82"/>
      <c r="AM13" s="82"/>
      <c r="AN13" s="82"/>
      <c r="AO13" s="82"/>
      <c r="AP13" s="82"/>
      <c r="AQ13" s="82"/>
    </row>
    <row r="14" spans="1:43" x14ac:dyDescent="0.3">
      <c r="A14" s="12" t="s">
        <v>14</v>
      </c>
      <c r="B14" s="12" t="s">
        <v>11</v>
      </c>
      <c r="C14" s="12">
        <v>50</v>
      </c>
      <c r="D14" s="12">
        <v>16.3</v>
      </c>
      <c r="E14" s="12">
        <v>230</v>
      </c>
      <c r="F14" s="12">
        <v>5700</v>
      </c>
      <c r="G14" s="12" t="s">
        <v>9</v>
      </c>
      <c r="H14" s="12" t="str">
        <f t="shared" si="0"/>
        <v>5125</v>
      </c>
      <c r="I14" s="12" t="str">
        <f t="shared" si="1"/>
        <v>Yes</v>
      </c>
      <c r="N14" s="12" t="str">
        <f t="shared" si="2"/>
        <v>Large</v>
      </c>
      <c r="O14" s="12" t="str">
        <f t="shared" si="3"/>
        <v>West</v>
      </c>
      <c r="P14" s="12">
        <f t="shared" si="4"/>
        <v>3</v>
      </c>
      <c r="Q14" s="12">
        <f t="shared" si="5"/>
        <v>1993.33</v>
      </c>
      <c r="R14" s="14">
        <f>COUNTIF(A:A,"Adelie")</f>
        <v>152</v>
      </c>
      <c r="S14" s="14" t="s">
        <v>21</v>
      </c>
      <c r="T14" s="65" t="s">
        <v>28</v>
      </c>
      <c r="U14" s="65"/>
      <c r="V14" s="12"/>
      <c r="W14" s="14">
        <f>COUNTIFS(B:B,"Dream",G:G,"FEMALE")</f>
        <v>61</v>
      </c>
      <c r="X14" s="14" t="s">
        <v>10</v>
      </c>
      <c r="Z14" s="63"/>
      <c r="AA14" s="63"/>
      <c r="AB14" s="63"/>
      <c r="AC14" s="63"/>
      <c r="AD14" s="63"/>
      <c r="AE14" s="63"/>
      <c r="AF14" s="63"/>
      <c r="AG14" s="63"/>
      <c r="AH14" s="63"/>
      <c r="AI14" s="63" t="s">
        <v>67</v>
      </c>
      <c r="AJ14" s="63"/>
      <c r="AK14" s="63"/>
      <c r="AL14" s="63"/>
      <c r="AM14" s="63"/>
      <c r="AN14" s="63"/>
      <c r="AO14" s="63"/>
    </row>
    <row r="15" spans="1:43" x14ac:dyDescent="0.3">
      <c r="A15" s="12" t="s">
        <v>14</v>
      </c>
      <c r="B15" s="12" t="s">
        <v>11</v>
      </c>
      <c r="C15" s="12">
        <v>50</v>
      </c>
      <c r="D15" s="12">
        <v>15.2</v>
      </c>
      <c r="E15" s="12">
        <v>218</v>
      </c>
      <c r="F15" s="12">
        <v>5700</v>
      </c>
      <c r="G15" s="12" t="s">
        <v>9</v>
      </c>
      <c r="H15" s="12" t="str">
        <f t="shared" si="0"/>
        <v>5125</v>
      </c>
      <c r="I15" s="12" t="str">
        <f t="shared" si="1"/>
        <v>Yes</v>
      </c>
      <c r="N15" s="12" t="str">
        <f t="shared" si="2"/>
        <v>Large</v>
      </c>
      <c r="O15" s="12" t="str">
        <f t="shared" si="3"/>
        <v>West</v>
      </c>
      <c r="P15" s="12">
        <f t="shared" si="4"/>
        <v>3</v>
      </c>
      <c r="Q15" s="12">
        <f t="shared" si="5"/>
        <v>1989.33</v>
      </c>
      <c r="R15" s="14">
        <f>COUNTIF(A:A,"Chinstrap")</f>
        <v>68</v>
      </c>
      <c r="S15" s="14" t="s">
        <v>13</v>
      </c>
      <c r="T15" s="14">
        <f>COUNTIFS(A:A,"Gentoo",G:G,"")</f>
        <v>5</v>
      </c>
      <c r="V15" s="12"/>
      <c r="W15" s="14">
        <f>COUNTIFS(B:B,"Dream",G:G,"")</f>
        <v>1</v>
      </c>
      <c r="X15" s="14" t="s">
        <v>45</v>
      </c>
      <c r="Y15" s="12"/>
      <c r="Z15" s="63"/>
      <c r="AA15" s="63"/>
      <c r="AB15" s="63"/>
      <c r="AC15" s="63"/>
      <c r="AD15" s="63"/>
      <c r="AE15" s="63"/>
      <c r="AF15" s="63"/>
      <c r="AG15" s="63"/>
      <c r="AH15" s="63"/>
      <c r="AI15" s="81" t="s">
        <v>99</v>
      </c>
      <c r="AJ15" s="81"/>
      <c r="AK15" s="81"/>
      <c r="AL15" s="81"/>
      <c r="AM15" s="81"/>
      <c r="AN15" s="81"/>
      <c r="AO15" s="81"/>
      <c r="AP15" s="81"/>
      <c r="AQ15" s="81"/>
    </row>
    <row r="16" spans="1:43" x14ac:dyDescent="0.3">
      <c r="A16" s="12" t="s">
        <v>14</v>
      </c>
      <c r="B16" s="12" t="s">
        <v>11</v>
      </c>
      <c r="C16" s="12">
        <v>50.2</v>
      </c>
      <c r="D16" s="12">
        <v>14.3</v>
      </c>
      <c r="E16" s="12">
        <v>218</v>
      </c>
      <c r="F16" s="12">
        <v>5700</v>
      </c>
      <c r="G16" s="12" t="s">
        <v>9</v>
      </c>
      <c r="H16" s="12" t="str">
        <f t="shared" si="0"/>
        <v>5125</v>
      </c>
      <c r="I16" s="12" t="str">
        <f t="shared" si="1"/>
        <v>Yes</v>
      </c>
      <c r="N16" s="12" t="str">
        <f t="shared" si="2"/>
        <v>Large</v>
      </c>
      <c r="O16" s="12" t="str">
        <f t="shared" si="3"/>
        <v>West</v>
      </c>
      <c r="P16" s="12">
        <f t="shared" si="4"/>
        <v>3</v>
      </c>
      <c r="Q16" s="12">
        <f t="shared" si="5"/>
        <v>1989.4</v>
      </c>
      <c r="R16" s="14">
        <f>COUNTIF(A:A,"Gentoo")</f>
        <v>124</v>
      </c>
      <c r="S16" s="14" t="s">
        <v>14</v>
      </c>
      <c r="T16" s="63" t="s">
        <v>29</v>
      </c>
      <c r="U16" s="63"/>
      <c r="W16" s="13" t="s">
        <v>56</v>
      </c>
      <c r="X16" s="20"/>
      <c r="Y16" s="20"/>
      <c r="Z16" s="21" t="s">
        <v>69</v>
      </c>
      <c r="AA16" s="64" t="s">
        <v>148</v>
      </c>
      <c r="AB16" s="64"/>
      <c r="AC16" s="64"/>
      <c r="AD16" s="64"/>
      <c r="AE16" s="12"/>
      <c r="AF16" s="12"/>
      <c r="AI16" s="63" t="s">
        <v>100</v>
      </c>
      <c r="AJ16" s="63"/>
      <c r="AK16" s="63"/>
      <c r="AL16" s="63"/>
      <c r="AM16" s="63"/>
      <c r="AN16" s="63"/>
      <c r="AO16" s="63"/>
      <c r="AP16" s="63"/>
      <c r="AQ16" s="63"/>
    </row>
    <row r="17" spans="1:43" x14ac:dyDescent="0.3">
      <c r="A17" s="12" t="s">
        <v>14</v>
      </c>
      <c r="B17" s="12" t="s">
        <v>11</v>
      </c>
      <c r="C17" s="12">
        <v>49.6</v>
      </c>
      <c r="D17" s="12">
        <v>16</v>
      </c>
      <c r="E17" s="12">
        <v>225</v>
      </c>
      <c r="F17" s="12">
        <v>5700</v>
      </c>
      <c r="G17" s="12" t="s">
        <v>9</v>
      </c>
      <c r="H17" s="12" t="str">
        <f t="shared" si="0"/>
        <v>5125</v>
      </c>
      <c r="I17" s="12" t="str">
        <f t="shared" si="1"/>
        <v>Yes</v>
      </c>
      <c r="N17" s="12" t="str">
        <f t="shared" si="2"/>
        <v>Large</v>
      </c>
      <c r="O17" s="12" t="str">
        <f t="shared" si="3"/>
        <v>West</v>
      </c>
      <c r="P17" s="12">
        <f t="shared" si="4"/>
        <v>3</v>
      </c>
      <c r="Q17" s="12">
        <f t="shared" si="5"/>
        <v>1991.53</v>
      </c>
      <c r="R17" s="14">
        <f>COUNTA(A2:A345)</f>
        <v>344</v>
      </c>
      <c r="S17" s="14" t="s">
        <v>17</v>
      </c>
      <c r="T17" s="14">
        <f>COUNTIFS(A:A,"chinstarp",G:G,"")</f>
        <v>0</v>
      </c>
      <c r="W17" s="22">
        <f>AVERAGEIFS(F:F,A:A,"Adelie")</f>
        <v>3700.662251655629</v>
      </c>
      <c r="X17" s="67">
        <f>AVERAGEIFS(F:F,A:A,"Chinstrap")</f>
        <v>3733.0882352941176</v>
      </c>
      <c r="Y17" s="67"/>
      <c r="Z17" s="19" t="s">
        <v>14</v>
      </c>
      <c r="AB17" s="19" t="s">
        <v>55</v>
      </c>
      <c r="AD17" s="19" t="s">
        <v>7</v>
      </c>
      <c r="AI17" s="63" t="s">
        <v>101</v>
      </c>
      <c r="AJ17" s="63"/>
      <c r="AK17" s="63"/>
      <c r="AL17" s="63"/>
      <c r="AM17" s="63"/>
      <c r="AN17" s="63"/>
      <c r="AO17" s="63"/>
      <c r="AP17" s="63"/>
      <c r="AQ17" s="63"/>
    </row>
    <row r="18" spans="1:43" x14ac:dyDescent="0.3">
      <c r="A18" s="12" t="s">
        <v>14</v>
      </c>
      <c r="B18" s="12" t="s">
        <v>11</v>
      </c>
      <c r="C18" s="12">
        <v>49.8</v>
      </c>
      <c r="D18" s="12">
        <v>16.8</v>
      </c>
      <c r="E18" s="12">
        <v>230</v>
      </c>
      <c r="F18" s="12">
        <v>5700</v>
      </c>
      <c r="G18" s="12" t="s">
        <v>9</v>
      </c>
      <c r="H18" s="12" t="str">
        <f t="shared" si="0"/>
        <v>5125</v>
      </c>
      <c r="I18" s="12" t="str">
        <f t="shared" si="1"/>
        <v>Yes</v>
      </c>
      <c r="N18" s="12" t="str">
        <f t="shared" si="2"/>
        <v>Large</v>
      </c>
      <c r="O18" s="12" t="str">
        <f t="shared" si="3"/>
        <v>West</v>
      </c>
      <c r="P18" s="12">
        <f t="shared" si="4"/>
        <v>3</v>
      </c>
      <c r="Q18" s="12">
        <f t="shared" si="5"/>
        <v>1993.27</v>
      </c>
      <c r="R18" s="14">
        <v>0</v>
      </c>
      <c r="S18" s="14" t="s">
        <v>31</v>
      </c>
      <c r="T18" s="66" t="s">
        <v>43</v>
      </c>
      <c r="U18" s="66"/>
      <c r="V18" s="66"/>
      <c r="W18" s="23"/>
      <c r="X18" s="14">
        <f>AVERAGEIFS(F:F,A:A,"Gentoo")</f>
        <v>5076.0162601626016</v>
      </c>
      <c r="Z18" s="14" t="s">
        <v>53</v>
      </c>
      <c r="AA18" s="14">
        <f>_xlfn.MAXIFS(F:F,A:A,"Gentoo")</f>
        <v>6300</v>
      </c>
      <c r="AB18" s="14" t="s">
        <v>53</v>
      </c>
      <c r="AC18" s="14">
        <f>_xlfn.MAXIFS(F:F,A:A,"Chinstrap")</f>
        <v>4800</v>
      </c>
      <c r="AD18" s="14" t="s">
        <v>53</v>
      </c>
      <c r="AE18" s="14">
        <f>_xlfn.MAXIFS(F:F,A:A,"Adelie")</f>
        <v>4775</v>
      </c>
      <c r="AI18" s="63" t="s">
        <v>102</v>
      </c>
      <c r="AJ18" s="63"/>
      <c r="AK18" s="63"/>
      <c r="AL18" s="63"/>
      <c r="AM18" s="63"/>
      <c r="AN18" s="63"/>
      <c r="AO18" s="63"/>
      <c r="AP18" s="63"/>
      <c r="AQ18" s="63"/>
    </row>
    <row r="19" spans="1:43" x14ac:dyDescent="0.3">
      <c r="A19" s="12" t="s">
        <v>14</v>
      </c>
      <c r="B19" s="12" t="s">
        <v>11</v>
      </c>
      <c r="C19" s="12">
        <v>47.8</v>
      </c>
      <c r="D19" s="12">
        <v>15</v>
      </c>
      <c r="E19" s="12">
        <v>215</v>
      </c>
      <c r="F19" s="12">
        <v>5650</v>
      </c>
      <c r="G19" s="12" t="s">
        <v>9</v>
      </c>
      <c r="H19" s="12" t="str">
        <f t="shared" si="0"/>
        <v>5125</v>
      </c>
      <c r="I19" s="12" t="str">
        <f t="shared" si="1"/>
        <v>Yes</v>
      </c>
      <c r="N19" s="12" t="str">
        <f t="shared" si="2"/>
        <v>Large</v>
      </c>
      <c r="O19" s="12" t="str">
        <f t="shared" si="3"/>
        <v>West</v>
      </c>
      <c r="P19" s="12">
        <f t="shared" si="4"/>
        <v>3</v>
      </c>
      <c r="Q19" s="12">
        <f t="shared" si="5"/>
        <v>1970.93</v>
      </c>
      <c r="R19" s="61" t="s">
        <v>22</v>
      </c>
      <c r="S19" s="61"/>
      <c r="T19" s="77" t="s">
        <v>32</v>
      </c>
      <c r="U19" s="63"/>
      <c r="V19" s="63"/>
      <c r="W19" s="23"/>
      <c r="Z19" s="14" t="s">
        <v>54</v>
      </c>
      <c r="AA19" s="14">
        <f>_xlfn.MINIFS(F:F,A:A,"Gentoo")</f>
        <v>3950</v>
      </c>
      <c r="AB19" s="14" t="s">
        <v>54</v>
      </c>
      <c r="AC19" s="14">
        <f>_xlfn.MINIFS(F:F,A:A,"Chinstrap")</f>
        <v>2700</v>
      </c>
      <c r="AD19" s="14" t="s">
        <v>54</v>
      </c>
      <c r="AE19" s="14">
        <f>_xlfn.MINIFS(F:F,A:A,"Adelie")</f>
        <v>2850</v>
      </c>
      <c r="AI19" s="63" t="s">
        <v>103</v>
      </c>
      <c r="AJ19" s="63"/>
      <c r="AK19" s="63"/>
      <c r="AL19" s="63"/>
      <c r="AM19" s="63"/>
      <c r="AN19" s="63"/>
      <c r="AO19" s="63"/>
      <c r="AP19" s="63"/>
      <c r="AQ19" s="63"/>
    </row>
    <row r="20" spans="1:43" x14ac:dyDescent="0.3">
      <c r="A20" s="12" t="s">
        <v>14</v>
      </c>
      <c r="B20" s="12" t="s">
        <v>11</v>
      </c>
      <c r="C20" s="12">
        <v>54.3</v>
      </c>
      <c r="D20" s="12">
        <v>15.7</v>
      </c>
      <c r="E20" s="12">
        <v>231</v>
      </c>
      <c r="F20" s="12">
        <v>5650</v>
      </c>
      <c r="G20" s="12" t="s">
        <v>9</v>
      </c>
      <c r="H20" s="12" t="str">
        <f t="shared" si="0"/>
        <v>5125</v>
      </c>
      <c r="I20" s="12" t="str">
        <f t="shared" si="1"/>
        <v>Yes</v>
      </c>
      <c r="N20" s="12" t="str">
        <f t="shared" si="2"/>
        <v>Large</v>
      </c>
      <c r="O20" s="12" t="str">
        <f t="shared" si="3"/>
        <v>West</v>
      </c>
      <c r="P20" s="12">
        <f t="shared" si="4"/>
        <v>3</v>
      </c>
      <c r="Q20" s="12">
        <f t="shared" si="5"/>
        <v>1978.43</v>
      </c>
      <c r="R20" s="14">
        <f>COUNT(C2:C345)</f>
        <v>342</v>
      </c>
      <c r="S20" s="14" t="s">
        <v>17</v>
      </c>
      <c r="T20" s="14">
        <f>COUNTIFS(A:A,"Adelie",B:B,"Torgersen")</f>
        <v>52</v>
      </c>
      <c r="W20" s="24" t="s">
        <v>72</v>
      </c>
      <c r="AA20" s="68" t="s">
        <v>145</v>
      </c>
      <c r="AB20" s="69"/>
      <c r="AC20" s="69"/>
      <c r="AD20" s="70"/>
      <c r="AI20" s="63" t="s">
        <v>111</v>
      </c>
      <c r="AJ20" s="63"/>
      <c r="AK20" s="63"/>
      <c r="AL20" s="63"/>
      <c r="AM20" s="63"/>
      <c r="AN20" s="63"/>
      <c r="AO20" s="63"/>
      <c r="AP20" s="63"/>
      <c r="AQ20" s="63"/>
    </row>
    <row r="21" spans="1:43" x14ac:dyDescent="0.3">
      <c r="A21" s="12" t="s">
        <v>14</v>
      </c>
      <c r="B21" s="12" t="s">
        <v>11</v>
      </c>
      <c r="C21" s="12">
        <v>49.5</v>
      </c>
      <c r="D21" s="12">
        <v>16.100000000000001</v>
      </c>
      <c r="E21" s="12">
        <v>224</v>
      </c>
      <c r="F21" s="12">
        <v>5650</v>
      </c>
      <c r="G21" s="12" t="s">
        <v>9</v>
      </c>
      <c r="H21" s="12" t="str">
        <f t="shared" si="0"/>
        <v>5125</v>
      </c>
      <c r="I21" s="12" t="str">
        <f t="shared" si="1"/>
        <v>Yes</v>
      </c>
      <c r="N21" s="12" t="str">
        <f t="shared" si="2"/>
        <v>Large</v>
      </c>
      <c r="O21" s="12" t="str">
        <f t="shared" si="3"/>
        <v>West</v>
      </c>
      <c r="P21" s="12">
        <f t="shared" si="4"/>
        <v>3</v>
      </c>
      <c r="Q21" s="12">
        <f t="shared" si="5"/>
        <v>1974.5</v>
      </c>
      <c r="R21" s="25">
        <f>SUM(C2:C345)</f>
        <v>15021.300000000019</v>
      </c>
      <c r="S21" s="14" t="s">
        <v>30</v>
      </c>
      <c r="T21" s="77" t="s">
        <v>34</v>
      </c>
      <c r="U21" s="77"/>
      <c r="V21" s="77"/>
      <c r="W21" s="26">
        <f>COUNTIF(A:A,"Adelie")/COUNTA(A:A)</f>
        <v>0.44057971014492753</v>
      </c>
      <c r="X21" s="19"/>
      <c r="Z21" s="19" t="s">
        <v>14</v>
      </c>
      <c r="AB21" s="19" t="s">
        <v>13</v>
      </c>
      <c r="AD21" s="19" t="s">
        <v>7</v>
      </c>
      <c r="AI21" s="83" t="s">
        <v>104</v>
      </c>
      <c r="AJ21" s="83"/>
      <c r="AK21" s="83"/>
      <c r="AL21" s="83"/>
      <c r="AM21" s="83"/>
      <c r="AN21" s="83"/>
      <c r="AO21" s="83"/>
      <c r="AP21" s="83"/>
      <c r="AQ21" s="83"/>
    </row>
    <row r="22" spans="1:43" x14ac:dyDescent="0.3">
      <c r="A22" s="12" t="s">
        <v>14</v>
      </c>
      <c r="B22" s="12" t="s">
        <v>11</v>
      </c>
      <c r="C22" s="12">
        <v>50.8</v>
      </c>
      <c r="D22" s="12">
        <v>17.3</v>
      </c>
      <c r="E22" s="12">
        <v>228</v>
      </c>
      <c r="F22" s="12">
        <v>5600</v>
      </c>
      <c r="G22" s="12" t="s">
        <v>9</v>
      </c>
      <c r="H22" s="12" t="str">
        <f t="shared" si="0"/>
        <v>5125</v>
      </c>
      <c r="I22" s="12" t="str">
        <f t="shared" si="1"/>
        <v>Yes</v>
      </c>
      <c r="N22" s="12" t="str">
        <f t="shared" si="2"/>
        <v>Large</v>
      </c>
      <c r="O22" s="12" t="str">
        <f t="shared" si="3"/>
        <v>West</v>
      </c>
      <c r="P22" s="12">
        <f t="shared" si="4"/>
        <v>3</v>
      </c>
      <c r="Q22" s="12">
        <f t="shared" si="5"/>
        <v>1959.6</v>
      </c>
      <c r="R22" s="25">
        <v>2</v>
      </c>
      <c r="S22" s="14" t="s">
        <v>31</v>
      </c>
      <c r="T22" s="14">
        <f>COUNTIFS(A:A,"Adelie",B:B,"Biscoe")</f>
        <v>44</v>
      </c>
      <c r="W22" s="27" t="s">
        <v>75</v>
      </c>
      <c r="X22" s="28"/>
      <c r="Z22" s="14" t="s">
        <v>53</v>
      </c>
      <c r="AA22" s="14">
        <f>_xlfn.MAXIFS(E:E,A:A,"Gentoo")</f>
        <v>231</v>
      </c>
      <c r="AB22" s="14" t="s">
        <v>53</v>
      </c>
      <c r="AC22" s="14">
        <f>_xlfn.MAXIFS(E:E,A:A,"Chinstrap")</f>
        <v>212</v>
      </c>
      <c r="AD22" s="14" t="s">
        <v>53</v>
      </c>
      <c r="AE22" s="14">
        <f>_xlfn.MAXIFS(E:E,A:A,"Adelie")</f>
        <v>210</v>
      </c>
      <c r="AI22" s="63" t="s">
        <v>105</v>
      </c>
      <c r="AJ22" s="63"/>
      <c r="AK22" s="63"/>
      <c r="AL22" s="63"/>
      <c r="AM22" s="63"/>
      <c r="AN22" s="63"/>
      <c r="AO22" s="63"/>
      <c r="AP22" s="63"/>
      <c r="AQ22" s="63"/>
    </row>
    <row r="23" spans="1:43" x14ac:dyDescent="0.3">
      <c r="A23" s="12" t="s">
        <v>14</v>
      </c>
      <c r="B23" s="12" t="s">
        <v>11</v>
      </c>
      <c r="C23" s="12">
        <v>55.9</v>
      </c>
      <c r="D23" s="12">
        <v>17</v>
      </c>
      <c r="E23" s="12">
        <v>228</v>
      </c>
      <c r="F23" s="12">
        <v>5600</v>
      </c>
      <c r="G23" s="12" t="s">
        <v>9</v>
      </c>
      <c r="H23" s="12" t="str">
        <f t="shared" si="0"/>
        <v>5125</v>
      </c>
      <c r="I23" s="12" t="str">
        <f t="shared" si="1"/>
        <v>Yes</v>
      </c>
      <c r="N23" s="12" t="str">
        <f t="shared" si="2"/>
        <v>Large</v>
      </c>
      <c r="O23" s="12" t="str">
        <f t="shared" si="3"/>
        <v>West</v>
      </c>
      <c r="P23" s="12">
        <f t="shared" si="4"/>
        <v>3</v>
      </c>
      <c r="Q23" s="12">
        <f t="shared" si="5"/>
        <v>1961.3</v>
      </c>
      <c r="R23" s="61" t="s">
        <v>23</v>
      </c>
      <c r="S23" s="61"/>
      <c r="T23" s="77" t="s">
        <v>33</v>
      </c>
      <c r="U23" s="77"/>
      <c r="V23" s="77"/>
      <c r="W23" s="18">
        <f>CORREL(F2:F345,E2:E345)</f>
        <v>0.87120176730601173</v>
      </c>
      <c r="X23" s="14" t="s">
        <v>74</v>
      </c>
      <c r="Z23" s="14" t="s">
        <v>54</v>
      </c>
      <c r="AA23" s="14">
        <f>_xlfn.MINIFS(E:E,A:A,"Gentoo")</f>
        <v>203</v>
      </c>
      <c r="AB23" s="14" t="s">
        <v>54</v>
      </c>
      <c r="AC23" s="14">
        <f>_xlfn.MINIFS(E:E,A:A,"Chinstrap")</f>
        <v>178</v>
      </c>
      <c r="AD23" s="14" t="s">
        <v>54</v>
      </c>
      <c r="AE23" s="14">
        <f>_xlfn.MINIFS(E:E,A:A,"Adelie")</f>
        <v>172</v>
      </c>
      <c r="AI23" s="62" t="s">
        <v>113</v>
      </c>
      <c r="AJ23" s="63"/>
      <c r="AK23" s="63"/>
      <c r="AL23" s="63"/>
      <c r="AM23" s="63"/>
      <c r="AN23" s="63"/>
      <c r="AO23" s="63"/>
      <c r="AP23" s="63"/>
      <c r="AQ23" s="63"/>
    </row>
    <row r="24" spans="1:43" x14ac:dyDescent="0.3">
      <c r="A24" s="12" t="s">
        <v>14</v>
      </c>
      <c r="B24" s="12" t="s">
        <v>11</v>
      </c>
      <c r="C24" s="12">
        <v>49</v>
      </c>
      <c r="D24" s="12">
        <v>16.100000000000001</v>
      </c>
      <c r="E24" s="12">
        <v>216</v>
      </c>
      <c r="F24" s="12">
        <v>5550</v>
      </c>
      <c r="G24" s="12" t="s">
        <v>9</v>
      </c>
      <c r="H24" s="12" t="str">
        <f t="shared" si="0"/>
        <v>5125</v>
      </c>
      <c r="I24" s="12" t="str">
        <f t="shared" si="1"/>
        <v>Yes</v>
      </c>
      <c r="N24" s="12" t="str">
        <f t="shared" si="2"/>
        <v>Large</v>
      </c>
      <c r="O24" s="12" t="str">
        <f t="shared" si="3"/>
        <v>West</v>
      </c>
      <c r="P24" s="12">
        <f t="shared" si="4"/>
        <v>3</v>
      </c>
      <c r="Q24" s="12">
        <f t="shared" si="5"/>
        <v>1938.33</v>
      </c>
      <c r="R24" s="14">
        <f>COUNT(D2:D345)</f>
        <v>342</v>
      </c>
      <c r="S24" s="14" t="s">
        <v>17</v>
      </c>
      <c r="T24" s="14">
        <f>COUNTIFS(A:A,"Adelie",B:B,"Dream")</f>
        <v>56</v>
      </c>
      <c r="W24" s="14" t="s">
        <v>82</v>
      </c>
      <c r="X24" s="19" t="s">
        <v>83</v>
      </c>
      <c r="AA24" s="68" t="s">
        <v>146</v>
      </c>
      <c r="AB24" s="69"/>
      <c r="AC24" s="69"/>
      <c r="AD24" s="70"/>
      <c r="AI24" s="63" t="s">
        <v>114</v>
      </c>
      <c r="AJ24" s="63"/>
      <c r="AK24" s="63"/>
      <c r="AL24" s="63"/>
      <c r="AM24" s="63"/>
      <c r="AN24" s="63"/>
      <c r="AO24" s="63"/>
      <c r="AP24" s="63"/>
      <c r="AQ24" s="63"/>
    </row>
    <row r="25" spans="1:43" x14ac:dyDescent="0.3">
      <c r="A25" s="12" t="s">
        <v>14</v>
      </c>
      <c r="B25" s="12" t="s">
        <v>11</v>
      </c>
      <c r="C25" s="12">
        <v>50</v>
      </c>
      <c r="D25" s="12">
        <v>15.3</v>
      </c>
      <c r="E25" s="12">
        <v>220</v>
      </c>
      <c r="F25" s="12">
        <v>5550</v>
      </c>
      <c r="G25" s="12" t="s">
        <v>9</v>
      </c>
      <c r="H25" s="12" t="str">
        <f t="shared" si="0"/>
        <v>5125</v>
      </c>
      <c r="I25" s="12" t="str">
        <f t="shared" si="1"/>
        <v>Yes</v>
      </c>
      <c r="N25" s="12" t="str">
        <f t="shared" si="2"/>
        <v>Large</v>
      </c>
      <c r="O25" s="12" t="str">
        <f t="shared" si="3"/>
        <v>West</v>
      </c>
      <c r="P25" s="12">
        <f t="shared" si="4"/>
        <v>3</v>
      </c>
      <c r="Q25" s="12">
        <f t="shared" si="5"/>
        <v>1940</v>
      </c>
      <c r="R25" s="25">
        <f>SUM(D2:D345)</f>
        <v>5865.7000000000053</v>
      </c>
      <c r="S25" s="14" t="s">
        <v>30</v>
      </c>
      <c r="T25" s="77" t="s">
        <v>38</v>
      </c>
      <c r="U25" s="77"/>
      <c r="V25" s="77"/>
      <c r="W25" s="14" t="s">
        <v>76</v>
      </c>
      <c r="X25" s="14">
        <f>(AA18+AA19)/2</f>
        <v>5125</v>
      </c>
      <c r="Z25" s="19" t="s">
        <v>14</v>
      </c>
      <c r="AB25" s="19" t="s">
        <v>13</v>
      </c>
      <c r="AD25" s="14" t="s">
        <v>7</v>
      </c>
      <c r="AI25" s="63" t="s">
        <v>119</v>
      </c>
      <c r="AJ25" s="63"/>
      <c r="AK25" s="63"/>
      <c r="AL25" s="63"/>
      <c r="AM25" s="63"/>
      <c r="AN25" s="63"/>
      <c r="AO25" s="63"/>
      <c r="AP25" s="63"/>
      <c r="AQ25" s="63"/>
    </row>
    <row r="26" spans="1:43" x14ac:dyDescent="0.3">
      <c r="A26" s="12" t="s">
        <v>14</v>
      </c>
      <c r="B26" s="12" t="s">
        <v>11</v>
      </c>
      <c r="C26" s="12">
        <v>50.5</v>
      </c>
      <c r="D26" s="12">
        <v>15.9</v>
      </c>
      <c r="E26" s="12">
        <v>222</v>
      </c>
      <c r="F26" s="12">
        <v>5550</v>
      </c>
      <c r="G26" s="12" t="s">
        <v>9</v>
      </c>
      <c r="H26" s="12" t="str">
        <f t="shared" si="0"/>
        <v>5125</v>
      </c>
      <c r="I26" s="12" t="str">
        <f t="shared" si="1"/>
        <v>Yes</v>
      </c>
      <c r="N26" s="12" t="str">
        <f t="shared" si="2"/>
        <v>Large</v>
      </c>
      <c r="O26" s="12" t="str">
        <f t="shared" si="3"/>
        <v>West</v>
      </c>
      <c r="P26" s="12">
        <f t="shared" si="4"/>
        <v>3</v>
      </c>
      <c r="Q26" s="12">
        <f t="shared" si="5"/>
        <v>1940.83</v>
      </c>
      <c r="R26" s="25">
        <v>2</v>
      </c>
      <c r="S26" s="14" t="s">
        <v>31</v>
      </c>
      <c r="T26" s="14">
        <f>COUNTIFS(A:A,"Chinstrap",B:B,"Torgersen")</f>
        <v>0</v>
      </c>
      <c r="W26" s="14" t="s">
        <v>77</v>
      </c>
      <c r="X26" s="14">
        <f>(AC18+AC19)/2</f>
        <v>3750</v>
      </c>
      <c r="Z26" s="14" t="s">
        <v>53</v>
      </c>
      <c r="AA26" s="14">
        <f>_xlfn.MAXIFS(D:D,A:A,"Gentoo")</f>
        <v>17.3</v>
      </c>
      <c r="AB26" s="14" t="s">
        <v>53</v>
      </c>
      <c r="AC26" s="14">
        <f>_xlfn.MAXIFS(D:D,A:A,"Chinstrap")</f>
        <v>20.8</v>
      </c>
      <c r="AD26" s="14" t="s">
        <v>53</v>
      </c>
      <c r="AE26" s="14">
        <f>_xlfn.MAXIFS(D:D,A:A,"Adelie")</f>
        <v>21.5</v>
      </c>
      <c r="AI26" s="63" t="s">
        <v>115</v>
      </c>
      <c r="AJ26" s="63"/>
      <c r="AK26" s="63"/>
      <c r="AL26" s="63"/>
      <c r="AM26" s="63"/>
      <c r="AN26" s="63"/>
      <c r="AO26" s="63"/>
      <c r="AP26" s="63"/>
      <c r="AQ26" s="63"/>
    </row>
    <row r="27" spans="1:43" x14ac:dyDescent="0.3">
      <c r="A27" s="12" t="s">
        <v>14</v>
      </c>
      <c r="B27" s="12" t="s">
        <v>11</v>
      </c>
      <c r="C27" s="12">
        <v>50.4</v>
      </c>
      <c r="D27" s="12">
        <v>15.3</v>
      </c>
      <c r="E27" s="12">
        <v>224</v>
      </c>
      <c r="F27" s="12">
        <v>5550</v>
      </c>
      <c r="G27" s="12" t="s">
        <v>9</v>
      </c>
      <c r="H27" s="12" t="str">
        <f t="shared" si="0"/>
        <v>5125</v>
      </c>
      <c r="I27" s="12" t="str">
        <f t="shared" si="1"/>
        <v>Yes</v>
      </c>
      <c r="N27" s="12" t="str">
        <f t="shared" si="2"/>
        <v>Large</v>
      </c>
      <c r="O27" s="12" t="str">
        <f t="shared" si="3"/>
        <v>West</v>
      </c>
      <c r="P27" s="12">
        <f t="shared" si="4"/>
        <v>3</v>
      </c>
      <c r="Q27" s="12">
        <f t="shared" si="5"/>
        <v>1941.47</v>
      </c>
      <c r="R27" s="61" t="s">
        <v>24</v>
      </c>
      <c r="S27" s="61"/>
      <c r="T27" s="77" t="s">
        <v>35</v>
      </c>
      <c r="U27" s="77"/>
      <c r="V27" s="77"/>
      <c r="W27" s="14" t="s">
        <v>78</v>
      </c>
      <c r="X27" s="14">
        <f>(AE18+AE19)/2</f>
        <v>3812.5</v>
      </c>
      <c r="Z27" s="14" t="s">
        <v>54</v>
      </c>
      <c r="AA27" s="14">
        <f>_xlfn.MINIFS(D:D,A:A,"Gentoo")</f>
        <v>13.1</v>
      </c>
      <c r="AB27" s="14" t="s">
        <v>54</v>
      </c>
      <c r="AC27" s="14">
        <f>_xlfn.MINIFS(D:D,A:A,"Chinstrap")</f>
        <v>16.399999999999999</v>
      </c>
      <c r="AD27" s="14" t="s">
        <v>54</v>
      </c>
      <c r="AE27" s="14">
        <f>_xlfn.MINIFS(D:D,A:A,"Adelie")</f>
        <v>15.5</v>
      </c>
      <c r="AI27" s="63" t="s">
        <v>116</v>
      </c>
      <c r="AJ27" s="63"/>
      <c r="AK27" s="63"/>
      <c r="AL27" s="63"/>
      <c r="AM27" s="63"/>
      <c r="AN27" s="63"/>
      <c r="AO27" s="63"/>
      <c r="AP27" s="63"/>
      <c r="AQ27" s="63"/>
    </row>
    <row r="28" spans="1:43" x14ac:dyDescent="0.3">
      <c r="A28" s="12" t="s">
        <v>14</v>
      </c>
      <c r="B28" s="12" t="s">
        <v>11</v>
      </c>
      <c r="C28" s="12">
        <v>50.7</v>
      </c>
      <c r="D28" s="12">
        <v>15</v>
      </c>
      <c r="E28" s="12">
        <v>223</v>
      </c>
      <c r="F28" s="12">
        <v>5550</v>
      </c>
      <c r="G28" s="12" t="s">
        <v>9</v>
      </c>
      <c r="H28" s="12" t="str">
        <f t="shared" si="0"/>
        <v>5125</v>
      </c>
      <c r="I28" s="12" t="str">
        <f t="shared" si="1"/>
        <v>Yes</v>
      </c>
      <c r="N28" s="12" t="str">
        <f t="shared" si="2"/>
        <v>Large</v>
      </c>
      <c r="O28" s="12" t="str">
        <f t="shared" si="3"/>
        <v>West</v>
      </c>
      <c r="P28" s="12">
        <f t="shared" si="4"/>
        <v>3</v>
      </c>
      <c r="Q28" s="12">
        <f t="shared" si="5"/>
        <v>1941.23</v>
      </c>
      <c r="R28" s="14">
        <f>COUNT(E2:E345)</f>
        <v>342</v>
      </c>
      <c r="S28" s="29" t="s">
        <v>17</v>
      </c>
      <c r="T28" s="14">
        <f>COUNTIFS(A:A,"Chinstrap",B:B,"Biscoe")</f>
        <v>0</v>
      </c>
      <c r="W28" s="11">
        <f>COUNTIF(I:I,"Yes")</f>
        <v>140</v>
      </c>
      <c r="X28" s="14" t="s">
        <v>80</v>
      </c>
      <c r="AA28" s="68" t="s">
        <v>147</v>
      </c>
      <c r="AB28" s="69"/>
      <c r="AC28" s="69"/>
      <c r="AD28" s="70"/>
      <c r="AI28" s="83" t="s">
        <v>117</v>
      </c>
      <c r="AJ28" s="83"/>
      <c r="AK28" s="83"/>
      <c r="AL28" s="83"/>
      <c r="AM28" s="83"/>
      <c r="AN28" s="83"/>
      <c r="AO28" s="83"/>
      <c r="AP28" s="83"/>
      <c r="AQ28" s="83"/>
    </row>
    <row r="29" spans="1:43" x14ac:dyDescent="0.3">
      <c r="A29" s="12" t="s">
        <v>14</v>
      </c>
      <c r="B29" s="12" t="s">
        <v>11</v>
      </c>
      <c r="C29" s="12">
        <v>52.1</v>
      </c>
      <c r="D29" s="12">
        <v>17</v>
      </c>
      <c r="E29" s="12">
        <v>230</v>
      </c>
      <c r="F29" s="12">
        <v>5550</v>
      </c>
      <c r="G29" s="12" t="s">
        <v>9</v>
      </c>
      <c r="H29" s="12" t="str">
        <f t="shared" si="0"/>
        <v>5125</v>
      </c>
      <c r="I29" s="12" t="str">
        <f t="shared" si="1"/>
        <v>Yes</v>
      </c>
      <c r="N29" s="12" t="str">
        <f t="shared" si="2"/>
        <v>Large</v>
      </c>
      <c r="O29" s="12" t="str">
        <f t="shared" si="3"/>
        <v>West</v>
      </c>
      <c r="P29" s="12">
        <f t="shared" si="4"/>
        <v>3</v>
      </c>
      <c r="Q29" s="12">
        <f t="shared" si="5"/>
        <v>1944.03</v>
      </c>
      <c r="R29" s="25">
        <f>SUM(E2:E345)</f>
        <v>68713</v>
      </c>
      <c r="S29" s="29" t="s">
        <v>30</v>
      </c>
      <c r="T29" s="77" t="s">
        <v>36</v>
      </c>
      <c r="U29" s="77"/>
      <c r="V29" s="77"/>
      <c r="W29" s="14">
        <f>COUNTIF(I:I,"NO")</f>
        <v>204</v>
      </c>
      <c r="X29" s="14" t="s">
        <v>81</v>
      </c>
      <c r="Z29" s="19" t="s">
        <v>14</v>
      </c>
      <c r="AB29" s="19" t="s">
        <v>13</v>
      </c>
      <c r="AD29" s="19" t="s">
        <v>7</v>
      </c>
      <c r="AI29" s="63" t="s">
        <v>122</v>
      </c>
      <c r="AJ29" s="63"/>
      <c r="AK29" s="63"/>
      <c r="AL29" s="63"/>
      <c r="AM29" s="63"/>
      <c r="AN29" s="63"/>
      <c r="AO29" s="63"/>
      <c r="AP29" s="63"/>
      <c r="AQ29" s="63"/>
    </row>
    <row r="30" spans="1:43" x14ac:dyDescent="0.3">
      <c r="A30" s="12" t="s">
        <v>14</v>
      </c>
      <c r="B30" s="12" t="s">
        <v>11</v>
      </c>
      <c r="C30" s="12">
        <v>49.1</v>
      </c>
      <c r="D30" s="12">
        <v>15</v>
      </c>
      <c r="E30" s="12">
        <v>228</v>
      </c>
      <c r="F30" s="12">
        <v>5500</v>
      </c>
      <c r="G30" s="12" t="s">
        <v>9</v>
      </c>
      <c r="H30" s="12" t="str">
        <f t="shared" si="0"/>
        <v>5125</v>
      </c>
      <c r="I30" s="12" t="str">
        <f t="shared" si="1"/>
        <v>Yes</v>
      </c>
      <c r="N30" s="12" t="str">
        <f t="shared" si="2"/>
        <v>Large</v>
      </c>
      <c r="O30" s="12" t="str">
        <f t="shared" si="3"/>
        <v>West</v>
      </c>
      <c r="P30" s="12">
        <f t="shared" si="4"/>
        <v>3</v>
      </c>
      <c r="Q30" s="12">
        <f t="shared" si="5"/>
        <v>1925.7</v>
      </c>
      <c r="R30" s="25">
        <v>2</v>
      </c>
      <c r="S30" s="29" t="s">
        <v>31</v>
      </c>
      <c r="T30" s="14">
        <f>COUNTIFS(A:A,"Chinstrap",B:B,"Dream")</f>
        <v>68</v>
      </c>
      <c r="W30" s="14">
        <f>W28+W29</f>
        <v>344</v>
      </c>
      <c r="Z30" s="14" t="s">
        <v>53</v>
      </c>
      <c r="AA30" s="14">
        <f>_xlfn.MAXIFS(C:C,A:A,"Gentoo")</f>
        <v>59.6</v>
      </c>
      <c r="AB30" s="14" t="s">
        <v>53</v>
      </c>
      <c r="AC30" s="14">
        <f>_xlfn.MAXIFS(C:C,A:A,"Chinstrap")</f>
        <v>58</v>
      </c>
      <c r="AD30" s="14" t="s">
        <v>53</v>
      </c>
      <c r="AE30" s="14">
        <f>_xlfn.MAXIFS(C:C,A:A,"Adelie")</f>
        <v>46</v>
      </c>
      <c r="AI30" s="63" t="s">
        <v>118</v>
      </c>
      <c r="AJ30" s="63"/>
      <c r="AK30" s="63"/>
      <c r="AL30" s="63"/>
      <c r="AM30" s="63"/>
      <c r="AN30" s="63"/>
      <c r="AO30" s="63"/>
      <c r="AP30" s="63"/>
      <c r="AQ30" s="63"/>
    </row>
    <row r="31" spans="1:43" x14ac:dyDescent="0.3">
      <c r="A31" s="12" t="s">
        <v>14</v>
      </c>
      <c r="B31" s="12" t="s">
        <v>11</v>
      </c>
      <c r="C31" s="12">
        <v>46.8</v>
      </c>
      <c r="D31" s="12">
        <v>16.100000000000001</v>
      </c>
      <c r="E31" s="12">
        <v>215</v>
      </c>
      <c r="F31" s="12">
        <v>5500</v>
      </c>
      <c r="G31" s="12" t="s">
        <v>9</v>
      </c>
      <c r="H31" s="12" t="str">
        <f t="shared" si="0"/>
        <v>5125</v>
      </c>
      <c r="I31" s="12" t="str">
        <f t="shared" si="1"/>
        <v>Yes</v>
      </c>
      <c r="N31" s="12" t="str">
        <f t="shared" si="2"/>
        <v>Large</v>
      </c>
      <c r="O31" s="12" t="str">
        <f t="shared" si="3"/>
        <v>West</v>
      </c>
      <c r="P31" s="12">
        <f t="shared" si="4"/>
        <v>3</v>
      </c>
      <c r="Q31" s="12">
        <f t="shared" si="5"/>
        <v>1920.6</v>
      </c>
      <c r="R31" s="61" t="s">
        <v>79</v>
      </c>
      <c r="S31" s="61"/>
      <c r="T31" s="77" t="s">
        <v>37</v>
      </c>
      <c r="U31" s="77"/>
      <c r="V31" s="77"/>
      <c r="W31" s="30">
        <f>COUNTIFS(A:A,"Gentoo",F:F,"&gt;5125")/COUNTIF(A:A,"Gentoo")</f>
        <v>0.44354838709677419</v>
      </c>
      <c r="X31" s="16" t="s">
        <v>98</v>
      </c>
      <c r="Z31" s="14" t="s">
        <v>54</v>
      </c>
      <c r="AA31" s="14">
        <f>_xlfn.MINIFS(C:C,A:A,"Gentoo")</f>
        <v>40.9</v>
      </c>
      <c r="AB31" s="14" t="s">
        <v>54</v>
      </c>
      <c r="AC31" s="14">
        <f>_xlfn.MINIFS(C:C,A:A,"Chinstrap")</f>
        <v>40.9</v>
      </c>
      <c r="AD31" s="14" t="s">
        <v>54</v>
      </c>
      <c r="AE31" s="14">
        <f>_xlfn.MINIFS(C:C,A:A,"Adelie")</f>
        <v>32.1</v>
      </c>
      <c r="AI31" s="62" t="s">
        <v>123</v>
      </c>
      <c r="AJ31" s="63"/>
      <c r="AK31" s="63"/>
      <c r="AL31" s="63"/>
      <c r="AM31" s="63"/>
      <c r="AN31" s="63"/>
      <c r="AO31" s="63"/>
      <c r="AP31" s="63"/>
      <c r="AQ31" s="63"/>
    </row>
    <row r="32" spans="1:43" x14ac:dyDescent="0.3">
      <c r="A32" s="12" t="s">
        <v>14</v>
      </c>
      <c r="B32" s="12" t="s">
        <v>11</v>
      </c>
      <c r="C32" s="12">
        <v>53.4</v>
      </c>
      <c r="D32" s="12">
        <v>15.8</v>
      </c>
      <c r="E32" s="12">
        <v>219</v>
      </c>
      <c r="F32" s="12">
        <v>5500</v>
      </c>
      <c r="G32" s="12" t="s">
        <v>9</v>
      </c>
      <c r="H32" s="12" t="str">
        <f t="shared" si="0"/>
        <v>5125</v>
      </c>
      <c r="I32" s="12" t="str">
        <f t="shared" si="1"/>
        <v>Yes</v>
      </c>
      <c r="N32" s="12" t="str">
        <f t="shared" si="2"/>
        <v>Large</v>
      </c>
      <c r="O32" s="12" t="str">
        <f t="shared" si="3"/>
        <v>West</v>
      </c>
      <c r="P32" s="12">
        <f t="shared" si="4"/>
        <v>3</v>
      </c>
      <c r="Q32" s="12">
        <f t="shared" si="5"/>
        <v>1924.13</v>
      </c>
      <c r="R32" s="14">
        <f>COUNT(F2:F345)</f>
        <v>342</v>
      </c>
      <c r="S32" s="14" t="s">
        <v>17</v>
      </c>
      <c r="T32" s="14">
        <f>COUNTIFS(A:A,"Gentoo",B:B,"Torgersen")</f>
        <v>0</v>
      </c>
      <c r="AI32" s="63" t="s">
        <v>124</v>
      </c>
      <c r="AJ32" s="63"/>
      <c r="AK32" s="63"/>
      <c r="AL32" s="63"/>
      <c r="AM32" s="63"/>
      <c r="AN32" s="63"/>
      <c r="AO32" s="63"/>
      <c r="AP32" s="63"/>
      <c r="AQ32" s="63"/>
    </row>
    <row r="33" spans="1:43" ht="14.4" customHeight="1" x14ac:dyDescent="0.3">
      <c r="A33" s="12" t="s">
        <v>14</v>
      </c>
      <c r="B33" s="12" t="s">
        <v>11</v>
      </c>
      <c r="C33" s="12">
        <v>48.1</v>
      </c>
      <c r="D33" s="12">
        <v>15.1</v>
      </c>
      <c r="E33" s="12">
        <v>209</v>
      </c>
      <c r="F33" s="12">
        <v>5500</v>
      </c>
      <c r="G33" s="12" t="s">
        <v>9</v>
      </c>
      <c r="H33" s="12" t="str">
        <f t="shared" si="0"/>
        <v>5125</v>
      </c>
      <c r="I33" s="12" t="str">
        <f t="shared" si="1"/>
        <v>Yes</v>
      </c>
      <c r="N33" s="12" t="str">
        <f t="shared" si="2"/>
        <v>Large</v>
      </c>
      <c r="O33" s="12" t="str">
        <f t="shared" si="3"/>
        <v>West</v>
      </c>
      <c r="P33" s="12">
        <f t="shared" si="4"/>
        <v>3</v>
      </c>
      <c r="Q33" s="12">
        <f t="shared" si="5"/>
        <v>1919.03</v>
      </c>
      <c r="R33" s="25">
        <f>SUM(F2:F345)</f>
        <v>1437000</v>
      </c>
      <c r="S33" s="14" t="s">
        <v>30</v>
      </c>
      <c r="T33" s="77" t="s">
        <v>39</v>
      </c>
      <c r="U33" s="77"/>
      <c r="V33" s="77"/>
      <c r="AA33" s="17" t="s">
        <v>96</v>
      </c>
      <c r="AI33" s="63" t="s">
        <v>125</v>
      </c>
      <c r="AJ33" s="63"/>
      <c r="AK33" s="63"/>
      <c r="AL33" s="63"/>
      <c r="AM33" s="63"/>
      <c r="AN33" s="63"/>
      <c r="AO33" s="63"/>
      <c r="AP33" s="63"/>
      <c r="AQ33" s="63"/>
    </row>
    <row r="34" spans="1:43" x14ac:dyDescent="0.3">
      <c r="A34" s="12" t="s">
        <v>14</v>
      </c>
      <c r="B34" s="12" t="s">
        <v>11</v>
      </c>
      <c r="C34" s="12">
        <v>51.5</v>
      </c>
      <c r="D34" s="12">
        <v>16.3</v>
      </c>
      <c r="E34" s="12">
        <v>230</v>
      </c>
      <c r="F34" s="12">
        <v>5500</v>
      </c>
      <c r="G34" s="12" t="s">
        <v>9</v>
      </c>
      <c r="H34" s="12" t="str">
        <f t="shared" si="0"/>
        <v>5125</v>
      </c>
      <c r="I34" s="12" t="str">
        <f t="shared" si="1"/>
        <v>Yes</v>
      </c>
      <c r="N34" s="12" t="str">
        <f t="shared" ref="N34:N65" si="6">VLOOKUP(A34,$J$2:$K$4,2,FALSE)</f>
        <v>Large</v>
      </c>
      <c r="O34" s="12" t="str">
        <f t="shared" si="3"/>
        <v>West</v>
      </c>
      <c r="P34" s="12">
        <f t="shared" si="4"/>
        <v>3</v>
      </c>
      <c r="Q34" s="12">
        <f t="shared" si="5"/>
        <v>1927.17</v>
      </c>
      <c r="R34" s="14">
        <v>2</v>
      </c>
      <c r="S34" s="14" t="s">
        <v>31</v>
      </c>
      <c r="T34" s="14">
        <f>COUNTIFS(A:A,"Gentoo",B:B,"Dream")</f>
        <v>0</v>
      </c>
      <c r="X34" s="75" t="s">
        <v>170</v>
      </c>
      <c r="Y34" s="74"/>
      <c r="Z34" s="74"/>
      <c r="AA34" s="74"/>
      <c r="AB34" s="74"/>
      <c r="AC34" s="74"/>
      <c r="AD34" s="76"/>
      <c r="AI34" s="62" t="s">
        <v>156</v>
      </c>
      <c r="AJ34" s="63"/>
      <c r="AK34" s="63"/>
      <c r="AL34" s="63"/>
      <c r="AM34" s="63"/>
      <c r="AN34" s="63"/>
      <c r="AO34" s="63"/>
      <c r="AP34" s="63"/>
      <c r="AQ34" s="63"/>
    </row>
    <row r="35" spans="1:43" x14ac:dyDescent="0.3">
      <c r="A35" s="12" t="s">
        <v>14</v>
      </c>
      <c r="B35" s="12" t="s">
        <v>11</v>
      </c>
      <c r="C35" s="12">
        <v>52.5</v>
      </c>
      <c r="D35" s="12">
        <v>15.6</v>
      </c>
      <c r="E35" s="12">
        <v>221</v>
      </c>
      <c r="F35" s="12">
        <v>5450</v>
      </c>
      <c r="G35" s="12" t="s">
        <v>9</v>
      </c>
      <c r="H35" s="12" t="str">
        <f t="shared" si="0"/>
        <v>5125</v>
      </c>
      <c r="I35" s="12" t="str">
        <f t="shared" si="1"/>
        <v>Yes</v>
      </c>
      <c r="N35" s="12" t="str">
        <f t="shared" si="6"/>
        <v>Large</v>
      </c>
      <c r="O35" s="12" t="str">
        <f t="shared" si="3"/>
        <v>West</v>
      </c>
      <c r="P35" s="12">
        <f t="shared" si="4"/>
        <v>3</v>
      </c>
      <c r="Q35" s="12">
        <f t="shared" si="5"/>
        <v>1907.83</v>
      </c>
      <c r="T35" s="77" t="s">
        <v>40</v>
      </c>
      <c r="U35" s="77"/>
      <c r="V35" s="77"/>
      <c r="X35" s="75" t="s">
        <v>177</v>
      </c>
      <c r="Y35" s="74"/>
      <c r="Z35" s="74"/>
      <c r="AA35" s="74"/>
      <c r="AB35" s="74"/>
      <c r="AC35" s="74"/>
      <c r="AD35" s="74"/>
      <c r="AE35" s="74"/>
      <c r="AF35" s="74"/>
      <c r="AG35" s="76"/>
      <c r="AI35" s="63" t="s">
        <v>128</v>
      </c>
      <c r="AJ35" s="63"/>
      <c r="AK35" s="63"/>
      <c r="AL35" s="63"/>
      <c r="AM35" s="63"/>
      <c r="AN35" s="63"/>
      <c r="AO35" s="63"/>
      <c r="AP35" s="63"/>
      <c r="AQ35" s="63"/>
    </row>
    <row r="36" spans="1:43" x14ac:dyDescent="0.3">
      <c r="A36" s="12" t="s">
        <v>14</v>
      </c>
      <c r="B36" s="12" t="s">
        <v>11</v>
      </c>
      <c r="C36" s="12">
        <v>47.6</v>
      </c>
      <c r="D36" s="12">
        <v>14.5</v>
      </c>
      <c r="E36" s="12">
        <v>215</v>
      </c>
      <c r="F36" s="12">
        <v>5400</v>
      </c>
      <c r="G36" s="12" t="s">
        <v>9</v>
      </c>
      <c r="H36" s="12" t="str">
        <f t="shared" si="0"/>
        <v>5125</v>
      </c>
      <c r="I36" s="12" t="str">
        <f t="shared" si="1"/>
        <v>Yes</v>
      </c>
      <c r="N36" s="12" t="str">
        <f t="shared" si="6"/>
        <v>Large</v>
      </c>
      <c r="O36" s="12" t="str">
        <f t="shared" si="3"/>
        <v>West</v>
      </c>
      <c r="P36" s="12">
        <f t="shared" si="4"/>
        <v>3</v>
      </c>
      <c r="Q36" s="12">
        <f t="shared" si="5"/>
        <v>1887.53</v>
      </c>
      <c r="T36" s="14">
        <f>COUNTIFS(A:A,"Gentoo",B:B,"Biscoe")</f>
        <v>124</v>
      </c>
      <c r="X36" s="68" t="s">
        <v>171</v>
      </c>
      <c r="Y36" s="76"/>
      <c r="AI36" s="63" t="s">
        <v>129</v>
      </c>
      <c r="AJ36" s="63"/>
      <c r="AK36" s="63"/>
      <c r="AL36" s="63"/>
      <c r="AM36" s="63"/>
      <c r="AN36" s="63"/>
      <c r="AO36" s="63"/>
      <c r="AP36" s="63"/>
      <c r="AQ36" s="63"/>
    </row>
    <row r="37" spans="1:43" x14ac:dyDescent="0.3">
      <c r="A37" s="12" t="s">
        <v>14</v>
      </c>
      <c r="B37" s="12" t="s">
        <v>11</v>
      </c>
      <c r="C37" s="12">
        <v>48.4</v>
      </c>
      <c r="D37" s="12">
        <v>16.3</v>
      </c>
      <c r="E37" s="12">
        <v>220</v>
      </c>
      <c r="F37" s="12">
        <v>5400</v>
      </c>
      <c r="G37" s="12" t="s">
        <v>9</v>
      </c>
      <c r="H37" s="12" t="str">
        <f t="shared" si="0"/>
        <v>5125</v>
      </c>
      <c r="I37" s="12" t="str">
        <f t="shared" si="1"/>
        <v>Yes</v>
      </c>
      <c r="N37" s="12" t="str">
        <f t="shared" si="6"/>
        <v>Large</v>
      </c>
      <c r="O37" s="12" t="str">
        <f t="shared" si="3"/>
        <v>West</v>
      </c>
      <c r="P37" s="12">
        <f t="shared" si="4"/>
        <v>3</v>
      </c>
      <c r="Q37" s="12">
        <f t="shared" si="5"/>
        <v>1889.47</v>
      </c>
      <c r="X37" s="14" t="s">
        <v>172</v>
      </c>
      <c r="Y37" s="14">
        <f>AVERAGE(F2:F345)</f>
        <v>4201.7543859649122</v>
      </c>
      <c r="AI37" s="63" t="s">
        <v>130</v>
      </c>
      <c r="AJ37" s="63"/>
      <c r="AK37" s="63"/>
      <c r="AL37" s="63"/>
      <c r="AM37" s="63"/>
      <c r="AN37" s="63"/>
      <c r="AO37" s="63"/>
      <c r="AP37" s="63"/>
      <c r="AQ37" s="63"/>
    </row>
    <row r="38" spans="1:43" x14ac:dyDescent="0.3">
      <c r="A38" s="12" t="s">
        <v>14</v>
      </c>
      <c r="B38" s="12" t="s">
        <v>11</v>
      </c>
      <c r="C38" s="12">
        <v>50.5</v>
      </c>
      <c r="D38" s="12">
        <v>15.9</v>
      </c>
      <c r="E38" s="12">
        <v>225</v>
      </c>
      <c r="F38" s="12">
        <v>5400</v>
      </c>
      <c r="G38" s="12" t="s">
        <v>9</v>
      </c>
      <c r="H38" s="12" t="str">
        <f t="shared" si="0"/>
        <v>5125</v>
      </c>
      <c r="I38" s="12" t="str">
        <f t="shared" si="1"/>
        <v>Yes</v>
      </c>
      <c r="N38" s="12" t="str">
        <f t="shared" si="6"/>
        <v>Large</v>
      </c>
      <c r="O38" s="12" t="str">
        <f t="shared" si="3"/>
        <v>West</v>
      </c>
      <c r="P38" s="12">
        <f t="shared" si="4"/>
        <v>3</v>
      </c>
      <c r="Q38" s="12">
        <f t="shared" si="5"/>
        <v>1891.83</v>
      </c>
      <c r="R38" s="66" t="s">
        <v>46</v>
      </c>
      <c r="S38" s="66"/>
      <c r="U38" s="14">
        <f>COUNTIF(B:B,"Biscoe")</f>
        <v>168</v>
      </c>
      <c r="X38" s="14" t="s">
        <v>173</v>
      </c>
      <c r="Y38" s="14">
        <f>MEDIAN(F2:F345)</f>
        <v>4050</v>
      </c>
      <c r="AI38" s="63" t="s">
        <v>131</v>
      </c>
      <c r="AJ38" s="63"/>
      <c r="AK38" s="63"/>
      <c r="AL38" s="63"/>
      <c r="AM38" s="63"/>
      <c r="AN38" s="63"/>
      <c r="AO38" s="63"/>
      <c r="AP38" s="63"/>
      <c r="AQ38" s="63"/>
    </row>
    <row r="39" spans="1:43" x14ac:dyDescent="0.3">
      <c r="A39" s="12" t="s">
        <v>14</v>
      </c>
      <c r="B39" s="12" t="s">
        <v>11</v>
      </c>
      <c r="C39" s="12">
        <v>52.2</v>
      </c>
      <c r="D39" s="12">
        <v>17.100000000000001</v>
      </c>
      <c r="E39" s="12">
        <v>228</v>
      </c>
      <c r="F39" s="12">
        <v>5400</v>
      </c>
      <c r="G39" s="12" t="s">
        <v>9</v>
      </c>
      <c r="H39" s="12" t="str">
        <f t="shared" si="0"/>
        <v>5125</v>
      </c>
      <c r="I39" s="12" t="str">
        <f t="shared" si="1"/>
        <v>Yes</v>
      </c>
      <c r="N39" s="12" t="str">
        <f t="shared" si="6"/>
        <v>Large</v>
      </c>
      <c r="O39" s="12" t="str">
        <f t="shared" si="3"/>
        <v>West</v>
      </c>
      <c r="P39" s="12">
        <f t="shared" si="4"/>
        <v>3</v>
      </c>
      <c r="Q39" s="12">
        <f t="shared" si="5"/>
        <v>1893.4</v>
      </c>
      <c r="R39" s="19" t="s">
        <v>47</v>
      </c>
      <c r="T39" s="20"/>
      <c r="U39" s="20"/>
      <c r="V39" s="20"/>
      <c r="X39" s="75" t="s">
        <v>174</v>
      </c>
      <c r="Y39" s="74"/>
      <c r="Z39" s="74"/>
      <c r="AA39" s="74"/>
      <c r="AB39" s="76"/>
      <c r="AI39" s="88" t="s">
        <v>157</v>
      </c>
      <c r="AJ39" s="74"/>
      <c r="AK39" s="74"/>
      <c r="AL39" s="74"/>
      <c r="AM39" s="74"/>
      <c r="AN39" s="74"/>
      <c r="AO39" s="74"/>
      <c r="AP39" s="74"/>
      <c r="AQ39" s="76"/>
    </row>
    <row r="40" spans="1:43" x14ac:dyDescent="0.3">
      <c r="A40" s="12" t="s">
        <v>14</v>
      </c>
      <c r="B40" s="12" t="s">
        <v>11</v>
      </c>
      <c r="C40" s="12">
        <v>49.9</v>
      </c>
      <c r="D40" s="12">
        <v>16.100000000000001</v>
      </c>
      <c r="E40" s="12">
        <v>213</v>
      </c>
      <c r="F40" s="12">
        <v>5400</v>
      </c>
      <c r="G40" s="12" t="s">
        <v>9</v>
      </c>
      <c r="H40" s="12" t="str">
        <f t="shared" si="0"/>
        <v>5125</v>
      </c>
      <c r="I40" s="12" t="str">
        <f t="shared" si="1"/>
        <v>Yes</v>
      </c>
      <c r="N40" s="12" t="str">
        <f t="shared" si="6"/>
        <v>Large</v>
      </c>
      <c r="O40" s="12" t="str">
        <f t="shared" si="3"/>
        <v>West</v>
      </c>
      <c r="P40" s="12">
        <f t="shared" si="4"/>
        <v>3</v>
      </c>
      <c r="Q40" s="12">
        <f t="shared" si="5"/>
        <v>1887.63</v>
      </c>
      <c r="R40" s="14">
        <f>AVERAGE(D:D)</f>
        <v>17.151169590643292</v>
      </c>
      <c r="S40" s="14" t="s">
        <v>48</v>
      </c>
      <c r="U40" s="63"/>
      <c r="V40" s="63"/>
      <c r="X40" s="75" t="s">
        <v>175</v>
      </c>
      <c r="Y40" s="74"/>
      <c r="Z40" s="74"/>
      <c r="AA40" s="76"/>
      <c r="AI40" s="84" t="s">
        <v>158</v>
      </c>
      <c r="AJ40" s="85"/>
      <c r="AK40" s="85"/>
      <c r="AL40" s="85"/>
      <c r="AM40" s="85"/>
      <c r="AN40" s="85"/>
      <c r="AO40" s="85"/>
      <c r="AP40" s="85"/>
      <c r="AQ40" s="86"/>
    </row>
    <row r="41" spans="1:43" x14ac:dyDescent="0.3">
      <c r="A41" s="12" t="s">
        <v>14</v>
      </c>
      <c r="B41" s="12" t="s">
        <v>11</v>
      </c>
      <c r="C41" s="12">
        <v>48.7</v>
      </c>
      <c r="D41" s="12">
        <v>15.1</v>
      </c>
      <c r="E41" s="12">
        <v>222</v>
      </c>
      <c r="F41" s="12">
        <v>5350</v>
      </c>
      <c r="G41" s="12" t="s">
        <v>9</v>
      </c>
      <c r="H41" s="12" t="str">
        <f t="shared" si="0"/>
        <v>5125</v>
      </c>
      <c r="I41" s="12" t="str">
        <f t="shared" si="1"/>
        <v>Yes</v>
      </c>
      <c r="N41" s="12" t="str">
        <f t="shared" si="6"/>
        <v>Large</v>
      </c>
      <c r="O41" s="12" t="str">
        <f t="shared" si="3"/>
        <v>West</v>
      </c>
      <c r="P41" s="12">
        <f t="shared" si="4"/>
        <v>3</v>
      </c>
      <c r="Q41" s="12">
        <f t="shared" si="5"/>
        <v>1873.57</v>
      </c>
      <c r="R41" s="14">
        <f>MEDIAN(D:D)</f>
        <v>17.3</v>
      </c>
      <c r="S41" s="14" t="s">
        <v>49</v>
      </c>
      <c r="U41" s="63"/>
      <c r="V41" s="63"/>
      <c r="X41" s="75" t="s">
        <v>176</v>
      </c>
      <c r="Y41" s="74"/>
      <c r="Z41" s="74"/>
      <c r="AA41" s="76"/>
      <c r="AI41" s="84" t="s">
        <v>159</v>
      </c>
      <c r="AJ41" s="85"/>
      <c r="AK41" s="85"/>
      <c r="AL41" s="85"/>
      <c r="AM41" s="85"/>
      <c r="AN41" s="85"/>
      <c r="AO41" s="85"/>
      <c r="AP41" s="85"/>
      <c r="AQ41" s="86"/>
    </row>
    <row r="42" spans="1:43" x14ac:dyDescent="0.3">
      <c r="A42" s="12" t="s">
        <v>14</v>
      </c>
      <c r="B42" s="12" t="s">
        <v>11</v>
      </c>
      <c r="C42" s="12">
        <v>48.7</v>
      </c>
      <c r="D42" s="12">
        <v>15.7</v>
      </c>
      <c r="E42" s="12">
        <v>208</v>
      </c>
      <c r="F42" s="12">
        <v>5350</v>
      </c>
      <c r="G42" s="12" t="s">
        <v>9</v>
      </c>
      <c r="H42" s="12" t="str">
        <f t="shared" si="0"/>
        <v>5125</v>
      </c>
      <c r="I42" s="12" t="str">
        <f t="shared" si="1"/>
        <v>Yes</v>
      </c>
      <c r="N42" s="12" t="str">
        <f t="shared" si="6"/>
        <v>Large</v>
      </c>
      <c r="O42" s="12" t="str">
        <f t="shared" si="3"/>
        <v>West</v>
      </c>
      <c r="P42" s="12">
        <f t="shared" si="4"/>
        <v>3</v>
      </c>
      <c r="Q42" s="12">
        <f t="shared" si="5"/>
        <v>1868.9</v>
      </c>
      <c r="R42" s="14">
        <f>_xlfn.PERCENTILE.INC(D:D,0.25)</f>
        <v>15.6</v>
      </c>
      <c r="S42" s="31">
        <v>0.25</v>
      </c>
      <c r="U42" s="63"/>
      <c r="V42" s="63"/>
      <c r="X42" s="68" t="s">
        <v>178</v>
      </c>
      <c r="Y42" s="76"/>
      <c r="AI42" s="84" t="s">
        <v>160</v>
      </c>
      <c r="AJ42" s="85"/>
      <c r="AK42" s="85"/>
      <c r="AL42" s="85"/>
      <c r="AM42" s="85"/>
      <c r="AN42" s="85"/>
      <c r="AO42" s="85"/>
      <c r="AP42" s="85"/>
      <c r="AQ42" s="86"/>
    </row>
    <row r="43" spans="1:43" x14ac:dyDescent="0.3">
      <c r="A43" s="12" t="s">
        <v>14</v>
      </c>
      <c r="B43" s="12" t="s">
        <v>11</v>
      </c>
      <c r="C43" s="12">
        <v>50</v>
      </c>
      <c r="D43" s="12">
        <v>15.9</v>
      </c>
      <c r="E43" s="12">
        <v>224</v>
      </c>
      <c r="F43" s="12">
        <v>5350</v>
      </c>
      <c r="G43" s="12" t="s">
        <v>9</v>
      </c>
      <c r="H43" s="12" t="str">
        <f t="shared" si="0"/>
        <v>5125</v>
      </c>
      <c r="I43" s="12" t="str">
        <f t="shared" si="1"/>
        <v>Yes</v>
      </c>
      <c r="N43" s="12" t="str">
        <f t="shared" si="6"/>
        <v>Large</v>
      </c>
      <c r="O43" s="12" t="str">
        <f t="shared" si="3"/>
        <v>West</v>
      </c>
      <c r="P43" s="12">
        <f t="shared" si="4"/>
        <v>3</v>
      </c>
      <c r="Q43" s="12">
        <f t="shared" si="5"/>
        <v>1874.67</v>
      </c>
      <c r="R43" s="14">
        <f>_xlfn.PERCENTILE.INC(D:D,0.75)</f>
        <v>18.7</v>
      </c>
      <c r="S43" s="31">
        <v>0.75</v>
      </c>
      <c r="AC43" s="89" t="s">
        <v>179</v>
      </c>
      <c r="AD43" s="74"/>
      <c r="AE43" s="74"/>
      <c r="AF43" s="74"/>
      <c r="AG43" s="76"/>
      <c r="AI43" s="84" t="s">
        <v>161</v>
      </c>
      <c r="AJ43" s="85"/>
      <c r="AK43" s="85"/>
      <c r="AL43" s="85"/>
      <c r="AM43" s="85"/>
      <c r="AN43" s="85"/>
      <c r="AO43" s="85"/>
      <c r="AP43" s="85"/>
      <c r="AQ43" s="86"/>
    </row>
    <row r="44" spans="1:43" x14ac:dyDescent="0.3">
      <c r="A44" s="12" t="s">
        <v>14</v>
      </c>
      <c r="B44" s="12" t="s">
        <v>11</v>
      </c>
      <c r="C44" s="12">
        <v>45.2</v>
      </c>
      <c r="D44" s="12">
        <v>15.8</v>
      </c>
      <c r="E44" s="12">
        <v>215</v>
      </c>
      <c r="F44" s="12">
        <v>5300</v>
      </c>
      <c r="G44" s="12" t="s">
        <v>9</v>
      </c>
      <c r="H44" s="12" t="str">
        <f t="shared" si="0"/>
        <v>5125</v>
      </c>
      <c r="I44" s="12" t="str">
        <f t="shared" si="1"/>
        <v>Yes</v>
      </c>
      <c r="N44" s="12" t="str">
        <f t="shared" si="6"/>
        <v>Large</v>
      </c>
      <c r="O44" s="12" t="str">
        <f t="shared" si="3"/>
        <v>West</v>
      </c>
      <c r="P44" s="12">
        <f t="shared" si="4"/>
        <v>3</v>
      </c>
      <c r="Q44" s="12">
        <f t="shared" si="5"/>
        <v>1853.4</v>
      </c>
      <c r="R44" s="19" t="s">
        <v>50</v>
      </c>
      <c r="AI44" s="84" t="s">
        <v>183</v>
      </c>
      <c r="AJ44" s="85"/>
      <c r="AK44" s="85"/>
      <c r="AL44" s="85"/>
      <c r="AM44" s="85"/>
      <c r="AN44" s="85"/>
      <c r="AO44" s="85"/>
      <c r="AP44" s="85"/>
      <c r="AQ44" s="86"/>
    </row>
    <row r="45" spans="1:43" x14ac:dyDescent="0.3">
      <c r="A45" s="12" t="s">
        <v>14</v>
      </c>
      <c r="B45" s="12" t="s">
        <v>11</v>
      </c>
      <c r="C45" s="12">
        <v>48.5</v>
      </c>
      <c r="D45" s="12">
        <v>14.1</v>
      </c>
      <c r="E45" s="12">
        <v>220</v>
      </c>
      <c r="F45" s="12">
        <v>5300</v>
      </c>
      <c r="G45" s="12" t="s">
        <v>9</v>
      </c>
      <c r="H45" s="12" t="str">
        <f t="shared" si="0"/>
        <v>5125</v>
      </c>
      <c r="I45" s="12" t="str">
        <f t="shared" si="1"/>
        <v>Yes</v>
      </c>
      <c r="N45" s="12" t="str">
        <f t="shared" si="6"/>
        <v>Large</v>
      </c>
      <c r="O45" s="12" t="str">
        <f t="shared" si="3"/>
        <v>West</v>
      </c>
      <c r="P45" s="12">
        <f t="shared" si="4"/>
        <v>3</v>
      </c>
      <c r="Q45" s="12">
        <f t="shared" si="5"/>
        <v>1856.17</v>
      </c>
      <c r="R45" s="14">
        <f>AVERAGE(C:C)</f>
        <v>43.92192982456146</v>
      </c>
      <c r="S45" s="14" t="s">
        <v>51</v>
      </c>
      <c r="AI45" s="87" t="s">
        <v>162</v>
      </c>
      <c r="AJ45" s="85"/>
      <c r="AK45" s="85"/>
      <c r="AL45" s="85"/>
      <c r="AM45" s="85"/>
      <c r="AN45" s="85"/>
      <c r="AO45" s="85"/>
      <c r="AP45" s="85"/>
      <c r="AQ45" s="86"/>
    </row>
    <row r="46" spans="1:43" x14ac:dyDescent="0.3">
      <c r="A46" s="12" t="s">
        <v>14</v>
      </c>
      <c r="B46" s="12" t="s">
        <v>11</v>
      </c>
      <c r="C46" s="12">
        <v>46.2</v>
      </c>
      <c r="D46" s="12">
        <v>14.9</v>
      </c>
      <c r="E46" s="12">
        <v>221</v>
      </c>
      <c r="F46" s="12">
        <v>5300</v>
      </c>
      <c r="G46" s="12" t="s">
        <v>9</v>
      </c>
      <c r="H46" s="12" t="str">
        <f t="shared" si="0"/>
        <v>5125</v>
      </c>
      <c r="I46" s="12" t="str">
        <f t="shared" si="1"/>
        <v>Yes</v>
      </c>
      <c r="N46" s="12" t="str">
        <f t="shared" si="6"/>
        <v>Large</v>
      </c>
      <c r="O46" s="12" t="str">
        <f t="shared" si="3"/>
        <v>West</v>
      </c>
      <c r="P46" s="12">
        <f t="shared" si="4"/>
        <v>3</v>
      </c>
      <c r="Q46" s="12">
        <f t="shared" si="5"/>
        <v>1855.73</v>
      </c>
      <c r="R46" s="14">
        <f>MEDIAN(C:C)</f>
        <v>44.45</v>
      </c>
      <c r="S46" s="14" t="s">
        <v>49</v>
      </c>
      <c r="AI46" s="84" t="s">
        <v>163</v>
      </c>
      <c r="AJ46" s="85"/>
      <c r="AK46" s="85"/>
      <c r="AL46" s="85"/>
      <c r="AM46" s="85"/>
      <c r="AN46" s="85"/>
      <c r="AO46" s="85"/>
      <c r="AP46" s="85"/>
      <c r="AQ46" s="86"/>
    </row>
    <row r="47" spans="1:43" x14ac:dyDescent="0.3">
      <c r="A47" s="12" t="s">
        <v>14</v>
      </c>
      <c r="B47" s="12" t="s">
        <v>11</v>
      </c>
      <c r="C47" s="12">
        <v>51.3</v>
      </c>
      <c r="D47" s="12">
        <v>14.2</v>
      </c>
      <c r="E47" s="12">
        <v>218</v>
      </c>
      <c r="F47" s="12">
        <v>5300</v>
      </c>
      <c r="G47" s="12" t="s">
        <v>9</v>
      </c>
      <c r="H47" s="12" t="str">
        <f t="shared" si="0"/>
        <v>5125</v>
      </c>
      <c r="I47" s="12" t="str">
        <f t="shared" si="1"/>
        <v>Yes</v>
      </c>
      <c r="N47" s="12" t="str">
        <f t="shared" si="6"/>
        <v>Large</v>
      </c>
      <c r="O47" s="12" t="str">
        <f t="shared" si="3"/>
        <v>West</v>
      </c>
      <c r="P47" s="12">
        <f t="shared" si="4"/>
        <v>3</v>
      </c>
      <c r="Q47" s="12">
        <f t="shared" si="5"/>
        <v>1856.43</v>
      </c>
      <c r="R47" s="14">
        <f>_xlfn.PERCENTILE.INC(C:C,0.25)</f>
        <v>39.225000000000001</v>
      </c>
      <c r="S47" s="31">
        <v>0.25</v>
      </c>
      <c r="AI47" s="84" t="s">
        <v>164</v>
      </c>
      <c r="AJ47" s="85"/>
      <c r="AK47" s="85"/>
      <c r="AL47" s="85"/>
      <c r="AM47" s="85"/>
      <c r="AN47" s="85"/>
      <c r="AO47" s="85"/>
      <c r="AP47" s="85"/>
      <c r="AQ47" s="86"/>
    </row>
    <row r="48" spans="1:43" x14ac:dyDescent="0.3">
      <c r="A48" s="12" t="s">
        <v>14</v>
      </c>
      <c r="B48" s="12" t="s">
        <v>11</v>
      </c>
      <c r="C48" s="12">
        <v>47.3</v>
      </c>
      <c r="D48" s="12">
        <v>15.3</v>
      </c>
      <c r="E48" s="12">
        <v>222</v>
      </c>
      <c r="F48" s="12">
        <v>5250</v>
      </c>
      <c r="G48" s="12" t="s">
        <v>9</v>
      </c>
      <c r="H48" s="12" t="str">
        <f t="shared" si="0"/>
        <v>5125</v>
      </c>
      <c r="I48" s="12" t="str">
        <f t="shared" si="1"/>
        <v>Yes</v>
      </c>
      <c r="N48" s="12" t="str">
        <f t="shared" si="6"/>
        <v>Large</v>
      </c>
      <c r="O48" s="12" t="str">
        <f t="shared" si="3"/>
        <v>West</v>
      </c>
      <c r="P48" s="12">
        <f t="shared" si="4"/>
        <v>3</v>
      </c>
      <c r="Q48" s="12">
        <f t="shared" si="5"/>
        <v>1839.77</v>
      </c>
      <c r="R48" s="14">
        <f>_xlfn.PERCENTILE.INC(C:C,0.75)</f>
        <v>48.5</v>
      </c>
      <c r="S48" s="31">
        <v>0.75</v>
      </c>
      <c r="AI48" s="84" t="s">
        <v>165</v>
      </c>
      <c r="AJ48" s="85"/>
      <c r="AK48" s="85"/>
      <c r="AL48" s="85"/>
      <c r="AM48" s="85"/>
      <c r="AN48" s="85"/>
      <c r="AO48" s="85"/>
      <c r="AP48" s="85"/>
      <c r="AQ48" s="86"/>
    </row>
    <row r="49" spans="1:43" x14ac:dyDescent="0.3">
      <c r="A49" s="12" t="s">
        <v>14</v>
      </c>
      <c r="B49" s="12" t="s">
        <v>11</v>
      </c>
      <c r="C49" s="12">
        <v>44.4</v>
      </c>
      <c r="D49" s="12">
        <v>17.3</v>
      </c>
      <c r="E49" s="12">
        <v>219</v>
      </c>
      <c r="F49" s="12">
        <v>5250</v>
      </c>
      <c r="G49" s="12" t="s">
        <v>9</v>
      </c>
      <c r="H49" s="12" t="str">
        <f t="shared" si="0"/>
        <v>5125</v>
      </c>
      <c r="I49" s="12" t="str">
        <f t="shared" si="1"/>
        <v>Yes</v>
      </c>
      <c r="N49" s="12" t="str">
        <f t="shared" si="6"/>
        <v>Large</v>
      </c>
      <c r="O49" s="12" t="str">
        <f t="shared" si="3"/>
        <v>West</v>
      </c>
      <c r="P49" s="12">
        <f t="shared" si="4"/>
        <v>3</v>
      </c>
      <c r="Q49" s="12">
        <f t="shared" si="5"/>
        <v>1837.8</v>
      </c>
      <c r="AI49" s="84" t="s">
        <v>166</v>
      </c>
      <c r="AJ49" s="85"/>
      <c r="AK49" s="85"/>
      <c r="AL49" s="85"/>
      <c r="AM49" s="85"/>
      <c r="AN49" s="85"/>
      <c r="AO49" s="85"/>
      <c r="AP49" s="85"/>
      <c r="AQ49" s="86"/>
    </row>
    <row r="50" spans="1:43" x14ac:dyDescent="0.3">
      <c r="A50" s="12" t="s">
        <v>14</v>
      </c>
      <c r="B50" s="12" t="s">
        <v>11</v>
      </c>
      <c r="C50" s="12">
        <v>51.1</v>
      </c>
      <c r="D50" s="12">
        <v>16.5</v>
      </c>
      <c r="E50" s="12">
        <v>225</v>
      </c>
      <c r="F50" s="12">
        <v>5250</v>
      </c>
      <c r="G50" s="12" t="s">
        <v>9</v>
      </c>
      <c r="H50" s="12" t="str">
        <f t="shared" si="0"/>
        <v>5125</v>
      </c>
      <c r="I50" s="12" t="str">
        <f t="shared" si="1"/>
        <v>Yes</v>
      </c>
      <c r="N50" s="12" t="str">
        <f t="shared" si="6"/>
        <v>Large</v>
      </c>
      <c r="O50" s="12" t="str">
        <f t="shared" si="3"/>
        <v>West</v>
      </c>
      <c r="P50" s="12">
        <f t="shared" si="4"/>
        <v>3</v>
      </c>
      <c r="Q50" s="12">
        <f t="shared" si="5"/>
        <v>1842.03</v>
      </c>
      <c r="AI50" s="84" t="s">
        <v>167</v>
      </c>
      <c r="AJ50" s="85"/>
      <c r="AK50" s="85"/>
      <c r="AL50" s="85"/>
      <c r="AM50" s="85"/>
      <c r="AN50" s="85"/>
      <c r="AO50" s="85"/>
      <c r="AP50" s="85"/>
      <c r="AQ50" s="86"/>
    </row>
    <row r="51" spans="1:43" x14ac:dyDescent="0.3">
      <c r="A51" s="12" t="s">
        <v>14</v>
      </c>
      <c r="B51" s="12" t="s">
        <v>11</v>
      </c>
      <c r="C51" s="12">
        <v>46.7</v>
      </c>
      <c r="D51" s="12">
        <v>15.3</v>
      </c>
      <c r="E51" s="12">
        <v>219</v>
      </c>
      <c r="F51" s="12">
        <v>5200</v>
      </c>
      <c r="G51" s="12" t="s">
        <v>9</v>
      </c>
      <c r="H51" s="12" t="str">
        <f t="shared" si="0"/>
        <v>5125</v>
      </c>
      <c r="I51" s="12" t="str">
        <f t="shared" si="1"/>
        <v>Yes</v>
      </c>
      <c r="N51" s="12" t="str">
        <f t="shared" si="6"/>
        <v>Large</v>
      </c>
      <c r="O51" s="12" t="str">
        <f t="shared" si="3"/>
        <v>West</v>
      </c>
      <c r="P51" s="12">
        <f t="shared" si="4"/>
        <v>3</v>
      </c>
      <c r="Q51" s="12">
        <f t="shared" si="5"/>
        <v>1821.9</v>
      </c>
      <c r="AI51" s="40"/>
      <c r="AJ51" s="41"/>
      <c r="AK51" s="41"/>
      <c r="AL51" s="41"/>
      <c r="AM51" s="41"/>
      <c r="AN51" s="41"/>
      <c r="AO51" s="41"/>
      <c r="AP51" s="41"/>
      <c r="AQ51" s="42"/>
    </row>
    <row r="52" spans="1:43" x14ac:dyDescent="0.3">
      <c r="A52" s="12" t="s">
        <v>14</v>
      </c>
      <c r="B52" s="12" t="s">
        <v>11</v>
      </c>
      <c r="C52" s="12">
        <v>46.5</v>
      </c>
      <c r="D52" s="12">
        <v>14.8</v>
      </c>
      <c r="E52" s="12">
        <v>217</v>
      </c>
      <c r="F52" s="12">
        <v>5200</v>
      </c>
      <c r="G52" s="12" t="s">
        <v>10</v>
      </c>
      <c r="H52" s="12" t="str">
        <f t="shared" si="0"/>
        <v>5125</v>
      </c>
      <c r="I52" s="12" t="str">
        <f t="shared" si="1"/>
        <v>Yes</v>
      </c>
      <c r="N52" s="12" t="str">
        <f t="shared" si="6"/>
        <v>Large</v>
      </c>
      <c r="O52" s="12" t="str">
        <f t="shared" si="3"/>
        <v>West</v>
      </c>
      <c r="P52" s="12">
        <f t="shared" si="4"/>
        <v>3</v>
      </c>
      <c r="Q52" s="12">
        <f t="shared" si="5"/>
        <v>1821.17</v>
      </c>
      <c r="AI52" s="40"/>
      <c r="AJ52" s="41"/>
      <c r="AK52" s="41"/>
      <c r="AL52" s="41"/>
      <c r="AM52" s="41"/>
      <c r="AN52" s="41"/>
      <c r="AO52" s="41"/>
      <c r="AP52" s="41"/>
      <c r="AQ52" s="42"/>
    </row>
    <row r="53" spans="1:43" x14ac:dyDescent="0.3">
      <c r="A53" s="12" t="s">
        <v>14</v>
      </c>
      <c r="B53" s="12" t="s">
        <v>11</v>
      </c>
      <c r="C53" s="12">
        <v>50.8</v>
      </c>
      <c r="D53" s="12">
        <v>15.7</v>
      </c>
      <c r="E53" s="12">
        <v>226</v>
      </c>
      <c r="F53" s="12">
        <v>5200</v>
      </c>
      <c r="G53" s="12" t="s">
        <v>9</v>
      </c>
      <c r="H53" s="12" t="str">
        <f t="shared" si="0"/>
        <v>5125</v>
      </c>
      <c r="I53" s="12" t="str">
        <f t="shared" si="1"/>
        <v>Yes</v>
      </c>
      <c r="N53" s="12" t="str">
        <f t="shared" si="6"/>
        <v>Large</v>
      </c>
      <c r="O53" s="12" t="str">
        <f t="shared" si="3"/>
        <v>West</v>
      </c>
      <c r="P53" s="12">
        <f t="shared" si="4"/>
        <v>3</v>
      </c>
      <c r="Q53" s="12">
        <f t="shared" si="5"/>
        <v>1825.6</v>
      </c>
      <c r="AI53" s="40"/>
      <c r="AJ53" s="41"/>
      <c r="AK53" s="41"/>
      <c r="AL53" s="41"/>
      <c r="AM53" s="41"/>
      <c r="AN53" s="41"/>
      <c r="AO53" s="41"/>
      <c r="AP53" s="41"/>
      <c r="AQ53" s="42"/>
    </row>
    <row r="54" spans="1:43" x14ac:dyDescent="0.3">
      <c r="A54" s="12" t="s">
        <v>14</v>
      </c>
      <c r="B54" s="12" t="s">
        <v>11</v>
      </c>
      <c r="C54" s="12">
        <v>45.2</v>
      </c>
      <c r="D54" s="12">
        <v>14.8</v>
      </c>
      <c r="E54" s="12">
        <v>212</v>
      </c>
      <c r="F54" s="12">
        <v>5200</v>
      </c>
      <c r="G54" s="12" t="s">
        <v>10</v>
      </c>
      <c r="H54" s="12" t="str">
        <f t="shared" si="0"/>
        <v>5125</v>
      </c>
      <c r="I54" s="12" t="str">
        <f t="shared" si="1"/>
        <v>Yes</v>
      </c>
      <c r="N54" s="12" t="str">
        <f t="shared" si="6"/>
        <v>Large</v>
      </c>
      <c r="O54" s="12" t="str">
        <f t="shared" si="3"/>
        <v>West</v>
      </c>
      <c r="P54" s="12">
        <f t="shared" si="4"/>
        <v>3</v>
      </c>
      <c r="Q54" s="12">
        <f t="shared" si="5"/>
        <v>1819.07</v>
      </c>
      <c r="AI54" s="40"/>
      <c r="AJ54" s="41"/>
      <c r="AK54" s="41"/>
      <c r="AL54" s="41"/>
      <c r="AM54" s="41"/>
      <c r="AN54" s="41"/>
      <c r="AO54" s="41"/>
      <c r="AP54" s="41"/>
      <c r="AQ54" s="42"/>
    </row>
    <row r="55" spans="1:43" x14ac:dyDescent="0.3">
      <c r="A55" s="12" t="s">
        <v>14</v>
      </c>
      <c r="B55" s="12" t="s">
        <v>11</v>
      </c>
      <c r="C55" s="12">
        <v>46.8</v>
      </c>
      <c r="D55" s="12">
        <v>15.4</v>
      </c>
      <c r="E55" s="12">
        <v>215</v>
      </c>
      <c r="F55" s="12">
        <v>5150</v>
      </c>
      <c r="G55" s="12" t="s">
        <v>9</v>
      </c>
      <c r="H55" s="12" t="str">
        <f t="shared" si="0"/>
        <v>5125</v>
      </c>
      <c r="I55" s="12" t="str">
        <f t="shared" si="1"/>
        <v>Yes</v>
      </c>
      <c r="N55" s="12" t="str">
        <f t="shared" si="6"/>
        <v>Large</v>
      </c>
      <c r="O55" s="12" t="str">
        <f t="shared" si="3"/>
        <v>West</v>
      </c>
      <c r="P55" s="12">
        <f t="shared" si="4"/>
        <v>3</v>
      </c>
      <c r="Q55" s="12">
        <f t="shared" si="5"/>
        <v>1803.93</v>
      </c>
      <c r="AI55" s="37"/>
      <c r="AJ55" s="38"/>
      <c r="AK55" s="38"/>
      <c r="AL55" s="38"/>
      <c r="AM55" s="38"/>
      <c r="AN55" s="38"/>
      <c r="AO55" s="38"/>
      <c r="AP55" s="38"/>
      <c r="AQ55" s="39"/>
    </row>
    <row r="56" spans="1:43" x14ac:dyDescent="0.3">
      <c r="A56" s="12" t="s">
        <v>14</v>
      </c>
      <c r="B56" s="12" t="s">
        <v>11</v>
      </c>
      <c r="C56" s="12">
        <v>49.1</v>
      </c>
      <c r="D56" s="12">
        <v>14.8</v>
      </c>
      <c r="E56" s="12">
        <v>220</v>
      </c>
      <c r="F56" s="12">
        <v>5150</v>
      </c>
      <c r="G56" s="12" t="s">
        <v>10</v>
      </c>
      <c r="H56" s="12" t="str">
        <f t="shared" si="0"/>
        <v>5125</v>
      </c>
      <c r="I56" s="12" t="str">
        <f t="shared" si="1"/>
        <v>Yes</v>
      </c>
      <c r="N56" s="12" t="str">
        <f t="shared" si="6"/>
        <v>Large</v>
      </c>
      <c r="O56" s="12" t="str">
        <f t="shared" si="3"/>
        <v>West</v>
      </c>
      <c r="P56" s="12">
        <f t="shared" si="4"/>
        <v>3</v>
      </c>
      <c r="Q56" s="12">
        <f t="shared" si="5"/>
        <v>1806.37</v>
      </c>
      <c r="AI56" s="37"/>
      <c r="AJ56" s="38"/>
      <c r="AK56" s="38"/>
      <c r="AL56" s="38"/>
      <c r="AM56" s="38"/>
      <c r="AN56" s="38"/>
      <c r="AO56" s="38"/>
      <c r="AP56" s="38"/>
      <c r="AQ56" s="39"/>
    </row>
    <row r="57" spans="1:43" x14ac:dyDescent="0.3">
      <c r="A57" s="12" t="s">
        <v>14</v>
      </c>
      <c r="B57" s="12" t="s">
        <v>11</v>
      </c>
      <c r="C57" s="12">
        <v>46.1</v>
      </c>
      <c r="D57" s="12">
        <v>15.1</v>
      </c>
      <c r="E57" s="12">
        <v>215</v>
      </c>
      <c r="F57" s="12">
        <v>5100</v>
      </c>
      <c r="G57" s="12" t="s">
        <v>9</v>
      </c>
      <c r="H57" s="12" t="str">
        <f t="shared" si="0"/>
        <v>5125</v>
      </c>
      <c r="I57" s="12" t="str">
        <f t="shared" si="1"/>
        <v>No</v>
      </c>
      <c r="N57" s="12" t="str">
        <f t="shared" si="6"/>
        <v>Large</v>
      </c>
      <c r="O57" s="12" t="str">
        <f t="shared" si="3"/>
        <v>West</v>
      </c>
      <c r="P57" s="12">
        <f t="shared" si="4"/>
        <v>3</v>
      </c>
      <c r="Q57" s="12">
        <f t="shared" si="5"/>
        <v>1787.03</v>
      </c>
      <c r="AI57" s="37"/>
      <c r="AJ57" s="38"/>
      <c r="AK57" s="38"/>
      <c r="AL57" s="38"/>
      <c r="AM57" s="38"/>
      <c r="AN57" s="38"/>
      <c r="AO57" s="38"/>
      <c r="AP57" s="38"/>
      <c r="AQ57" s="39"/>
    </row>
    <row r="58" spans="1:43" x14ac:dyDescent="0.3">
      <c r="A58" s="12" t="s">
        <v>14</v>
      </c>
      <c r="B58" s="12" t="s">
        <v>11</v>
      </c>
      <c r="C58" s="12">
        <v>44.9</v>
      </c>
      <c r="D58" s="12">
        <v>13.3</v>
      </c>
      <c r="E58" s="12">
        <v>213</v>
      </c>
      <c r="F58" s="12">
        <v>5100</v>
      </c>
      <c r="G58" s="12" t="s">
        <v>10</v>
      </c>
      <c r="H58" s="12" t="str">
        <f t="shared" si="0"/>
        <v>5125</v>
      </c>
      <c r="I58" s="12" t="str">
        <f t="shared" si="1"/>
        <v>No</v>
      </c>
      <c r="N58" s="12" t="str">
        <f t="shared" si="6"/>
        <v>Large</v>
      </c>
      <c r="O58" s="12" t="str">
        <f t="shared" si="3"/>
        <v>West</v>
      </c>
      <c r="P58" s="12">
        <f t="shared" si="4"/>
        <v>3</v>
      </c>
      <c r="Q58" s="12">
        <f t="shared" si="5"/>
        <v>1785.97</v>
      </c>
      <c r="V58" s="68" t="s">
        <v>191</v>
      </c>
      <c r="W58" s="74"/>
      <c r="X58" s="76"/>
      <c r="Y58" s="75" t="str">
        <f>IF(MAX(F2:F4)-MIN(F2:F4)&lt;20,"Balanced","Imbalanced")</f>
        <v>Imbalanced</v>
      </c>
      <c r="Z58" s="76"/>
    </row>
    <row r="59" spans="1:43" x14ac:dyDescent="0.3">
      <c r="A59" s="12" t="s">
        <v>14</v>
      </c>
      <c r="B59" s="12" t="s">
        <v>11</v>
      </c>
      <c r="C59" s="12">
        <v>48.2</v>
      </c>
      <c r="D59" s="12">
        <v>15.6</v>
      </c>
      <c r="E59" s="12">
        <v>221</v>
      </c>
      <c r="F59" s="12">
        <v>5100</v>
      </c>
      <c r="G59" s="12" t="s">
        <v>9</v>
      </c>
      <c r="H59" s="12" t="str">
        <f t="shared" si="0"/>
        <v>5125</v>
      </c>
      <c r="I59" s="12" t="str">
        <f t="shared" si="1"/>
        <v>No</v>
      </c>
      <c r="N59" s="12" t="str">
        <f t="shared" si="6"/>
        <v>Large</v>
      </c>
      <c r="O59" s="12" t="str">
        <f t="shared" si="3"/>
        <v>West</v>
      </c>
      <c r="P59" s="12">
        <f t="shared" si="4"/>
        <v>3</v>
      </c>
      <c r="Q59" s="12">
        <f t="shared" si="5"/>
        <v>1789.73</v>
      </c>
    </row>
    <row r="60" spans="1:43" x14ac:dyDescent="0.3">
      <c r="A60" s="12" t="s">
        <v>14</v>
      </c>
      <c r="B60" s="12" t="s">
        <v>11</v>
      </c>
      <c r="C60" s="12">
        <v>46.3</v>
      </c>
      <c r="D60" s="12">
        <v>15.8</v>
      </c>
      <c r="E60" s="12">
        <v>215</v>
      </c>
      <c r="F60" s="12">
        <v>5050</v>
      </c>
      <c r="G60" s="12" t="s">
        <v>9</v>
      </c>
      <c r="H60" s="12" t="str">
        <f t="shared" si="0"/>
        <v>5125</v>
      </c>
      <c r="I60" s="12" t="str">
        <f t="shared" si="1"/>
        <v>No</v>
      </c>
      <c r="N60" s="12" t="str">
        <f t="shared" si="6"/>
        <v>Large</v>
      </c>
      <c r="O60" s="12" t="str">
        <f t="shared" si="3"/>
        <v>West</v>
      </c>
      <c r="P60" s="12">
        <f t="shared" si="4"/>
        <v>3</v>
      </c>
      <c r="Q60" s="12">
        <f t="shared" si="5"/>
        <v>1770.43</v>
      </c>
    </row>
    <row r="61" spans="1:43" x14ac:dyDescent="0.3">
      <c r="A61" s="12" t="s">
        <v>14</v>
      </c>
      <c r="B61" s="12" t="s">
        <v>11</v>
      </c>
      <c r="C61" s="12">
        <v>45.1</v>
      </c>
      <c r="D61" s="12">
        <v>14.5</v>
      </c>
      <c r="E61" s="12">
        <v>207</v>
      </c>
      <c r="F61" s="12">
        <v>5050</v>
      </c>
      <c r="G61" s="12" t="s">
        <v>10</v>
      </c>
      <c r="H61" s="12" t="str">
        <f t="shared" si="0"/>
        <v>5125</v>
      </c>
      <c r="I61" s="12" t="str">
        <f t="shared" si="1"/>
        <v>No</v>
      </c>
      <c r="N61" s="12" t="str">
        <f t="shared" si="6"/>
        <v>Large</v>
      </c>
      <c r="O61" s="12" t="str">
        <f t="shared" si="3"/>
        <v>West</v>
      </c>
      <c r="P61" s="12">
        <f t="shared" si="4"/>
        <v>3</v>
      </c>
      <c r="Q61" s="12">
        <f t="shared" si="5"/>
        <v>1767.37</v>
      </c>
    </row>
    <row r="62" spans="1:43" x14ac:dyDescent="0.3">
      <c r="A62" s="12" t="s">
        <v>14</v>
      </c>
      <c r="B62" s="12" t="s">
        <v>11</v>
      </c>
      <c r="C62" s="12">
        <v>45</v>
      </c>
      <c r="D62" s="12">
        <v>15.4</v>
      </c>
      <c r="E62" s="12">
        <v>220</v>
      </c>
      <c r="F62" s="12">
        <v>5050</v>
      </c>
      <c r="G62" s="12" t="s">
        <v>9</v>
      </c>
      <c r="H62" s="12" t="str">
        <f t="shared" si="0"/>
        <v>5125</v>
      </c>
      <c r="I62" s="12" t="str">
        <f t="shared" si="1"/>
        <v>No</v>
      </c>
      <c r="N62" s="12" t="str">
        <f t="shared" si="6"/>
        <v>Large</v>
      </c>
      <c r="O62" s="12" t="str">
        <f t="shared" si="3"/>
        <v>West</v>
      </c>
      <c r="P62" s="12">
        <f t="shared" si="4"/>
        <v>3</v>
      </c>
      <c r="Q62" s="12">
        <f t="shared" si="5"/>
        <v>1771.67</v>
      </c>
    </row>
    <row r="63" spans="1:43" x14ac:dyDescent="0.3">
      <c r="A63" s="12" t="s">
        <v>14</v>
      </c>
      <c r="B63" s="12" t="s">
        <v>11</v>
      </c>
      <c r="C63" s="12">
        <v>45.1</v>
      </c>
      <c r="D63" s="12">
        <v>14.5</v>
      </c>
      <c r="E63" s="12">
        <v>215</v>
      </c>
      <c r="F63" s="12">
        <v>5000</v>
      </c>
      <c r="G63" s="12" t="s">
        <v>10</v>
      </c>
      <c r="H63" s="12" t="str">
        <f t="shared" si="0"/>
        <v>5125</v>
      </c>
      <c r="I63" s="12" t="str">
        <f t="shared" si="1"/>
        <v>No</v>
      </c>
      <c r="N63" s="12" t="str">
        <f t="shared" si="6"/>
        <v>Large</v>
      </c>
      <c r="O63" s="12" t="str">
        <f t="shared" si="3"/>
        <v>West</v>
      </c>
      <c r="P63" s="12">
        <f t="shared" si="4"/>
        <v>2</v>
      </c>
      <c r="Q63" s="12">
        <f t="shared" si="5"/>
        <v>1753.37</v>
      </c>
    </row>
    <row r="64" spans="1:43" x14ac:dyDescent="0.3">
      <c r="A64" s="12" t="s">
        <v>14</v>
      </c>
      <c r="B64" s="12" t="s">
        <v>11</v>
      </c>
      <c r="C64" s="12">
        <v>42.9</v>
      </c>
      <c r="D64" s="12">
        <v>13.1</v>
      </c>
      <c r="E64" s="12">
        <v>215</v>
      </c>
      <c r="F64" s="12">
        <v>5000</v>
      </c>
      <c r="G64" s="12" t="s">
        <v>10</v>
      </c>
      <c r="H64" s="12" t="str">
        <f t="shared" si="0"/>
        <v>5125</v>
      </c>
      <c r="I64" s="12" t="str">
        <f t="shared" si="1"/>
        <v>No</v>
      </c>
      <c r="N64" s="12" t="str">
        <f t="shared" si="6"/>
        <v>Large</v>
      </c>
      <c r="O64" s="12" t="str">
        <f t="shared" si="3"/>
        <v>West</v>
      </c>
      <c r="P64" s="12">
        <f t="shared" si="4"/>
        <v>2</v>
      </c>
      <c r="Q64" s="12">
        <f t="shared" si="5"/>
        <v>1752.63</v>
      </c>
    </row>
    <row r="65" spans="1:17" x14ac:dyDescent="0.3">
      <c r="A65" s="12" t="s">
        <v>14</v>
      </c>
      <c r="B65" s="12" t="s">
        <v>11</v>
      </c>
      <c r="C65" s="12">
        <v>50.1</v>
      </c>
      <c r="D65" s="12">
        <v>15</v>
      </c>
      <c r="E65" s="12">
        <v>225</v>
      </c>
      <c r="F65" s="12">
        <v>5000</v>
      </c>
      <c r="G65" s="12" t="s">
        <v>9</v>
      </c>
      <c r="H65" s="12" t="str">
        <f t="shared" si="0"/>
        <v>5125</v>
      </c>
      <c r="I65" s="12" t="str">
        <f t="shared" si="1"/>
        <v>No</v>
      </c>
      <c r="N65" s="12" t="str">
        <f t="shared" si="6"/>
        <v>Large</v>
      </c>
      <c r="O65" s="12" t="str">
        <f t="shared" si="3"/>
        <v>West</v>
      </c>
      <c r="P65" s="12">
        <f t="shared" si="4"/>
        <v>2</v>
      </c>
      <c r="Q65" s="12">
        <f t="shared" si="5"/>
        <v>1758.37</v>
      </c>
    </row>
    <row r="66" spans="1:17" x14ac:dyDescent="0.3">
      <c r="A66" s="12" t="s">
        <v>14</v>
      </c>
      <c r="B66" s="12" t="s">
        <v>11</v>
      </c>
      <c r="C66" s="12">
        <v>45.5</v>
      </c>
      <c r="D66" s="12">
        <v>15</v>
      </c>
      <c r="E66" s="12">
        <v>220</v>
      </c>
      <c r="F66" s="12">
        <v>5000</v>
      </c>
      <c r="G66" s="12" t="s">
        <v>9</v>
      </c>
      <c r="H66" s="12" t="str">
        <f t="shared" ref="H66:H129" si="7">IF(AND(A66="Gentoo"),"5125",IF(AND(A66="Chinstrap"),"3750",IF(AND(A66="Adelie"),"3812.5")))</f>
        <v>5125</v>
      </c>
      <c r="I66" s="12" t="str">
        <f t="shared" ref="I66:I129" si="8">IF(AND(A66="Gentoo",F66&gt;5125),"Yes",
   IF(AND(A66="Chinstrap",F66&gt;3750),"Yes",
   IF(AND(A66="Adelie",F66&gt;3812.5),"Yes","No")))</f>
        <v>No</v>
      </c>
      <c r="N66" s="12" t="str">
        <f t="shared" ref="N66:N129" si="9">VLOOKUP(A66,$J$2:$K$4,2,FALSE)</f>
        <v>Large</v>
      </c>
      <c r="O66" s="12" t="str">
        <f t="shared" ref="O66:O129" si="10">VLOOKUP(B66,$L$2:$M$4,2,FALSE)</f>
        <v>West</v>
      </c>
      <c r="P66" s="12">
        <f t="shared" ref="P66:P129" si="11">IF(F66&gt;5000,3,IF(F66&gt;4000,2,1))</f>
        <v>2</v>
      </c>
      <c r="Q66" s="12">
        <f t="shared" ref="Q66:Q129" si="12">ROUND((F66+E66+C66)/3,2)</f>
        <v>1755.17</v>
      </c>
    </row>
    <row r="67" spans="1:17" x14ac:dyDescent="0.3">
      <c r="A67" s="12" t="s">
        <v>14</v>
      </c>
      <c r="B67" s="12" t="s">
        <v>11</v>
      </c>
      <c r="C67" s="12">
        <v>46.4</v>
      </c>
      <c r="D67" s="12">
        <v>15.6</v>
      </c>
      <c r="E67" s="12">
        <v>221</v>
      </c>
      <c r="F67" s="12">
        <v>5000</v>
      </c>
      <c r="G67" s="12" t="s">
        <v>9</v>
      </c>
      <c r="H67" s="12" t="str">
        <f t="shared" si="7"/>
        <v>5125</v>
      </c>
      <c r="I67" s="12" t="str">
        <f t="shared" si="8"/>
        <v>No</v>
      </c>
      <c r="N67" s="12" t="str">
        <f t="shared" si="9"/>
        <v>Large</v>
      </c>
      <c r="O67" s="12" t="str">
        <f t="shared" si="10"/>
        <v>West</v>
      </c>
      <c r="P67" s="12">
        <f t="shared" si="11"/>
        <v>2</v>
      </c>
      <c r="Q67" s="12">
        <f t="shared" si="12"/>
        <v>1755.8</v>
      </c>
    </row>
    <row r="68" spans="1:17" x14ac:dyDescent="0.3">
      <c r="A68" s="12" t="s">
        <v>14</v>
      </c>
      <c r="B68" s="12" t="s">
        <v>11</v>
      </c>
      <c r="C68" s="12">
        <v>50.5</v>
      </c>
      <c r="D68" s="12">
        <v>15.2</v>
      </c>
      <c r="E68" s="12">
        <v>216</v>
      </c>
      <c r="F68" s="12">
        <v>5000</v>
      </c>
      <c r="G68" s="12" t="s">
        <v>10</v>
      </c>
      <c r="H68" s="12" t="str">
        <f t="shared" si="7"/>
        <v>5125</v>
      </c>
      <c r="I68" s="12" t="str">
        <f t="shared" si="8"/>
        <v>No</v>
      </c>
      <c r="N68" s="12" t="str">
        <f t="shared" si="9"/>
        <v>Large</v>
      </c>
      <c r="O68" s="12" t="str">
        <f t="shared" si="10"/>
        <v>West</v>
      </c>
      <c r="P68" s="12">
        <f t="shared" si="11"/>
        <v>2</v>
      </c>
      <c r="Q68" s="12">
        <f t="shared" si="12"/>
        <v>1755.5</v>
      </c>
    </row>
    <row r="69" spans="1:17" x14ac:dyDescent="0.3">
      <c r="A69" s="12" t="s">
        <v>14</v>
      </c>
      <c r="B69" s="12" t="s">
        <v>11</v>
      </c>
      <c r="C69" s="12">
        <v>47.2</v>
      </c>
      <c r="D69" s="12">
        <v>15.5</v>
      </c>
      <c r="E69" s="12">
        <v>215</v>
      </c>
      <c r="F69" s="12">
        <v>4975</v>
      </c>
      <c r="G69" s="12" t="s">
        <v>10</v>
      </c>
      <c r="H69" s="12" t="str">
        <f t="shared" si="7"/>
        <v>5125</v>
      </c>
      <c r="I69" s="12" t="str">
        <f t="shared" si="8"/>
        <v>No</v>
      </c>
      <c r="N69" s="12" t="str">
        <f t="shared" si="9"/>
        <v>Large</v>
      </c>
      <c r="O69" s="12" t="str">
        <f t="shared" si="10"/>
        <v>West</v>
      </c>
      <c r="P69" s="12">
        <f t="shared" si="11"/>
        <v>2</v>
      </c>
      <c r="Q69" s="12">
        <f t="shared" si="12"/>
        <v>1745.73</v>
      </c>
    </row>
    <row r="70" spans="1:17" x14ac:dyDescent="0.3">
      <c r="A70" s="12" t="s">
        <v>14</v>
      </c>
      <c r="B70" s="12" t="s">
        <v>11</v>
      </c>
      <c r="C70" s="12">
        <v>42.6</v>
      </c>
      <c r="D70" s="12">
        <v>13.7</v>
      </c>
      <c r="E70" s="12">
        <v>213</v>
      </c>
      <c r="F70" s="12">
        <v>4950</v>
      </c>
      <c r="G70" s="12" t="s">
        <v>10</v>
      </c>
      <c r="H70" s="12" t="str">
        <f t="shared" si="7"/>
        <v>5125</v>
      </c>
      <c r="I70" s="12" t="str">
        <f t="shared" si="8"/>
        <v>No</v>
      </c>
      <c r="N70" s="12" t="str">
        <f t="shared" si="9"/>
        <v>Large</v>
      </c>
      <c r="O70" s="12" t="str">
        <f t="shared" si="10"/>
        <v>West</v>
      </c>
      <c r="P70" s="12">
        <f t="shared" si="11"/>
        <v>2</v>
      </c>
      <c r="Q70" s="12">
        <f t="shared" si="12"/>
        <v>1735.2</v>
      </c>
    </row>
    <row r="71" spans="1:17" x14ac:dyDescent="0.3">
      <c r="A71" s="12" t="s">
        <v>14</v>
      </c>
      <c r="B71" s="12" t="s">
        <v>11</v>
      </c>
      <c r="C71" s="12">
        <v>47.5</v>
      </c>
      <c r="D71" s="12">
        <v>15</v>
      </c>
      <c r="E71" s="12">
        <v>218</v>
      </c>
      <c r="F71" s="12">
        <v>4950</v>
      </c>
      <c r="G71" s="12" t="s">
        <v>10</v>
      </c>
      <c r="H71" s="12" t="str">
        <f t="shared" si="7"/>
        <v>5125</v>
      </c>
      <c r="I71" s="12" t="str">
        <f t="shared" si="8"/>
        <v>No</v>
      </c>
      <c r="N71" s="12" t="str">
        <f t="shared" si="9"/>
        <v>Large</v>
      </c>
      <c r="O71" s="12" t="str">
        <f t="shared" si="10"/>
        <v>West</v>
      </c>
      <c r="P71" s="12">
        <f t="shared" si="11"/>
        <v>2</v>
      </c>
      <c r="Q71" s="12">
        <f t="shared" si="12"/>
        <v>1738.5</v>
      </c>
    </row>
    <row r="72" spans="1:17" x14ac:dyDescent="0.3">
      <c r="A72" s="12" t="s">
        <v>14</v>
      </c>
      <c r="B72" s="12" t="s">
        <v>11</v>
      </c>
      <c r="C72" s="12">
        <v>49.4</v>
      </c>
      <c r="D72" s="12">
        <v>15.8</v>
      </c>
      <c r="E72" s="12">
        <v>216</v>
      </c>
      <c r="F72" s="12">
        <v>4925</v>
      </c>
      <c r="G72" s="12" t="s">
        <v>9</v>
      </c>
      <c r="H72" s="12" t="str">
        <f t="shared" si="7"/>
        <v>5125</v>
      </c>
      <c r="I72" s="12" t="str">
        <f t="shared" si="8"/>
        <v>No</v>
      </c>
      <c r="N72" s="12" t="str">
        <f t="shared" si="9"/>
        <v>Large</v>
      </c>
      <c r="O72" s="12" t="str">
        <f t="shared" si="10"/>
        <v>West</v>
      </c>
      <c r="P72" s="12">
        <f t="shared" si="11"/>
        <v>2</v>
      </c>
      <c r="Q72" s="12">
        <f t="shared" si="12"/>
        <v>1730.13</v>
      </c>
    </row>
    <row r="73" spans="1:17" x14ac:dyDescent="0.3">
      <c r="A73" s="12" t="s">
        <v>14</v>
      </c>
      <c r="B73" s="12" t="s">
        <v>11</v>
      </c>
      <c r="C73" s="12">
        <v>47.2</v>
      </c>
      <c r="D73" s="12">
        <v>13.7</v>
      </c>
      <c r="E73" s="12">
        <v>214</v>
      </c>
      <c r="F73" s="12">
        <v>4925</v>
      </c>
      <c r="G73" s="12" t="s">
        <v>10</v>
      </c>
      <c r="H73" s="12" t="str">
        <f t="shared" si="7"/>
        <v>5125</v>
      </c>
      <c r="I73" s="12" t="str">
        <f t="shared" si="8"/>
        <v>No</v>
      </c>
      <c r="N73" s="12" t="str">
        <f t="shared" si="9"/>
        <v>Large</v>
      </c>
      <c r="O73" s="12" t="str">
        <f t="shared" si="10"/>
        <v>West</v>
      </c>
      <c r="P73" s="12">
        <f t="shared" si="11"/>
        <v>2</v>
      </c>
      <c r="Q73" s="12">
        <f t="shared" si="12"/>
        <v>1728.73</v>
      </c>
    </row>
    <row r="74" spans="1:17" x14ac:dyDescent="0.3">
      <c r="A74" s="12" t="s">
        <v>14</v>
      </c>
      <c r="B74" s="12" t="s">
        <v>11</v>
      </c>
      <c r="C74" s="12">
        <v>43.6</v>
      </c>
      <c r="D74" s="12">
        <v>13.9</v>
      </c>
      <c r="E74" s="12">
        <v>217</v>
      </c>
      <c r="F74" s="12">
        <v>4900</v>
      </c>
      <c r="G74" s="12" t="s">
        <v>10</v>
      </c>
      <c r="H74" s="12" t="str">
        <f t="shared" si="7"/>
        <v>5125</v>
      </c>
      <c r="I74" s="12" t="str">
        <f t="shared" si="8"/>
        <v>No</v>
      </c>
      <c r="N74" s="12" t="str">
        <f t="shared" si="9"/>
        <v>Large</v>
      </c>
      <c r="O74" s="12" t="str">
        <f t="shared" si="10"/>
        <v>West</v>
      </c>
      <c r="P74" s="12">
        <f t="shared" si="11"/>
        <v>2</v>
      </c>
      <c r="Q74" s="12">
        <f t="shared" si="12"/>
        <v>1720.2</v>
      </c>
    </row>
    <row r="75" spans="1:17" x14ac:dyDescent="0.3">
      <c r="A75" s="12" t="s">
        <v>14</v>
      </c>
      <c r="B75" s="12" t="s">
        <v>11</v>
      </c>
      <c r="C75" s="12">
        <v>46.5</v>
      </c>
      <c r="D75" s="12">
        <v>14.4</v>
      </c>
      <c r="E75" s="12">
        <v>217</v>
      </c>
      <c r="F75" s="12">
        <v>4900</v>
      </c>
      <c r="G75" s="12" t="s">
        <v>10</v>
      </c>
      <c r="H75" s="12" t="str">
        <f t="shared" si="7"/>
        <v>5125</v>
      </c>
      <c r="I75" s="12" t="str">
        <f t="shared" si="8"/>
        <v>No</v>
      </c>
      <c r="N75" s="12" t="str">
        <f t="shared" si="9"/>
        <v>Large</v>
      </c>
      <c r="O75" s="12" t="str">
        <f t="shared" si="10"/>
        <v>West</v>
      </c>
      <c r="P75" s="12">
        <f t="shared" si="11"/>
        <v>2</v>
      </c>
      <c r="Q75" s="12">
        <f t="shared" si="12"/>
        <v>1721.17</v>
      </c>
    </row>
    <row r="76" spans="1:17" x14ac:dyDescent="0.3">
      <c r="A76" s="12" t="s">
        <v>14</v>
      </c>
      <c r="B76" s="12" t="s">
        <v>11</v>
      </c>
      <c r="C76" s="12">
        <v>47.5</v>
      </c>
      <c r="D76" s="12">
        <v>14</v>
      </c>
      <c r="E76" s="12">
        <v>212</v>
      </c>
      <c r="F76" s="12">
        <v>4875</v>
      </c>
      <c r="G76" s="12" t="s">
        <v>10</v>
      </c>
      <c r="H76" s="12" t="str">
        <f t="shared" si="7"/>
        <v>5125</v>
      </c>
      <c r="I76" s="12" t="str">
        <f t="shared" si="8"/>
        <v>No</v>
      </c>
      <c r="N76" s="12" t="str">
        <f t="shared" si="9"/>
        <v>Large</v>
      </c>
      <c r="O76" s="12" t="str">
        <f t="shared" si="10"/>
        <v>West</v>
      </c>
      <c r="P76" s="12">
        <f t="shared" si="11"/>
        <v>2</v>
      </c>
      <c r="Q76" s="12">
        <f t="shared" si="12"/>
        <v>1711.5</v>
      </c>
    </row>
    <row r="77" spans="1:17" x14ac:dyDescent="0.3">
      <c r="A77" s="12" t="s">
        <v>14</v>
      </c>
      <c r="B77" s="12" t="s">
        <v>11</v>
      </c>
      <c r="C77" s="12">
        <v>46.9</v>
      </c>
      <c r="D77" s="12">
        <v>14.6</v>
      </c>
      <c r="E77" s="12">
        <v>222</v>
      </c>
      <c r="F77" s="12">
        <v>4875</v>
      </c>
      <c r="G77" s="12" t="s">
        <v>10</v>
      </c>
      <c r="H77" s="12" t="str">
        <f t="shared" si="7"/>
        <v>5125</v>
      </c>
      <c r="I77" s="12" t="str">
        <f t="shared" si="8"/>
        <v>No</v>
      </c>
      <c r="N77" s="12" t="str">
        <f t="shared" si="9"/>
        <v>Large</v>
      </c>
      <c r="O77" s="12" t="str">
        <f t="shared" si="10"/>
        <v>West</v>
      </c>
      <c r="P77" s="12">
        <f t="shared" si="11"/>
        <v>2</v>
      </c>
      <c r="Q77" s="12">
        <f t="shared" si="12"/>
        <v>1714.63</v>
      </c>
    </row>
    <row r="78" spans="1:17" x14ac:dyDescent="0.3">
      <c r="A78" s="12" t="s">
        <v>14</v>
      </c>
      <c r="B78" s="12" t="s">
        <v>11</v>
      </c>
      <c r="C78" s="12">
        <v>44.5</v>
      </c>
      <c r="D78" s="12">
        <v>15.7</v>
      </c>
      <c r="E78" s="12">
        <v>217</v>
      </c>
      <c r="F78" s="12">
        <v>4875</v>
      </c>
      <c r="H78" s="12" t="str">
        <f t="shared" si="7"/>
        <v>5125</v>
      </c>
      <c r="I78" s="12" t="str">
        <f t="shared" si="8"/>
        <v>No</v>
      </c>
      <c r="N78" s="12" t="str">
        <f t="shared" si="9"/>
        <v>Large</v>
      </c>
      <c r="O78" s="12" t="str">
        <f t="shared" si="10"/>
        <v>West</v>
      </c>
      <c r="P78" s="12">
        <f t="shared" si="11"/>
        <v>2</v>
      </c>
      <c r="Q78" s="12">
        <f t="shared" si="12"/>
        <v>1712.17</v>
      </c>
    </row>
    <row r="79" spans="1:17" x14ac:dyDescent="0.3">
      <c r="A79" s="12" t="s">
        <v>14</v>
      </c>
      <c r="B79" s="12" t="s">
        <v>11</v>
      </c>
      <c r="C79" s="12">
        <v>46.6</v>
      </c>
      <c r="D79" s="12">
        <v>14.2</v>
      </c>
      <c r="E79" s="12">
        <v>210</v>
      </c>
      <c r="F79" s="12">
        <v>4850</v>
      </c>
      <c r="G79" s="12" t="s">
        <v>10</v>
      </c>
      <c r="H79" s="12" t="str">
        <f t="shared" si="7"/>
        <v>5125</v>
      </c>
      <c r="I79" s="12" t="str">
        <f t="shared" si="8"/>
        <v>No</v>
      </c>
      <c r="N79" s="12" t="str">
        <f t="shared" si="9"/>
        <v>Large</v>
      </c>
      <c r="O79" s="12" t="str">
        <f t="shared" si="10"/>
        <v>West</v>
      </c>
      <c r="P79" s="12">
        <f t="shared" si="11"/>
        <v>2</v>
      </c>
      <c r="Q79" s="12">
        <f t="shared" si="12"/>
        <v>1702.2</v>
      </c>
    </row>
    <row r="80" spans="1:17" x14ac:dyDescent="0.3">
      <c r="A80" s="12" t="s">
        <v>14</v>
      </c>
      <c r="B80" s="12" t="s">
        <v>11</v>
      </c>
      <c r="C80" s="12">
        <v>44.5</v>
      </c>
      <c r="D80" s="12">
        <v>14.7</v>
      </c>
      <c r="E80" s="12">
        <v>214</v>
      </c>
      <c r="F80" s="12">
        <v>4850</v>
      </c>
      <c r="G80" s="12" t="s">
        <v>10</v>
      </c>
      <c r="H80" s="12" t="str">
        <f t="shared" si="7"/>
        <v>5125</v>
      </c>
      <c r="I80" s="12" t="str">
        <f t="shared" si="8"/>
        <v>No</v>
      </c>
      <c r="N80" s="12" t="str">
        <f t="shared" si="9"/>
        <v>Large</v>
      </c>
      <c r="O80" s="12" t="str">
        <f t="shared" si="10"/>
        <v>West</v>
      </c>
      <c r="P80" s="12">
        <f t="shared" si="11"/>
        <v>2</v>
      </c>
      <c r="Q80" s="12">
        <f t="shared" si="12"/>
        <v>1702.83</v>
      </c>
    </row>
    <row r="81" spans="1:17" x14ac:dyDescent="0.3">
      <c r="A81" s="12" t="s">
        <v>14</v>
      </c>
      <c r="B81" s="12" t="s">
        <v>11</v>
      </c>
      <c r="C81" s="12">
        <v>48.5</v>
      </c>
      <c r="D81" s="12">
        <v>15</v>
      </c>
      <c r="E81" s="12">
        <v>219</v>
      </c>
      <c r="F81" s="12">
        <v>4850</v>
      </c>
      <c r="G81" s="12" t="s">
        <v>10</v>
      </c>
      <c r="H81" s="12" t="str">
        <f t="shared" si="7"/>
        <v>5125</v>
      </c>
      <c r="I81" s="12" t="str">
        <f t="shared" si="8"/>
        <v>No</v>
      </c>
      <c r="N81" s="12" t="str">
        <f t="shared" si="9"/>
        <v>Large</v>
      </c>
      <c r="O81" s="12" t="str">
        <f t="shared" si="10"/>
        <v>West</v>
      </c>
      <c r="P81" s="12">
        <f t="shared" si="11"/>
        <v>2</v>
      </c>
      <c r="Q81" s="12">
        <f t="shared" si="12"/>
        <v>1705.83</v>
      </c>
    </row>
    <row r="82" spans="1:17" x14ac:dyDescent="0.3">
      <c r="A82" s="12" t="s">
        <v>14</v>
      </c>
      <c r="B82" s="12" t="s">
        <v>11</v>
      </c>
      <c r="C82" s="12">
        <v>46.8</v>
      </c>
      <c r="D82" s="12">
        <v>14.3</v>
      </c>
      <c r="E82" s="12">
        <v>215</v>
      </c>
      <c r="F82" s="12">
        <v>4850</v>
      </c>
      <c r="G82" s="12" t="s">
        <v>10</v>
      </c>
      <c r="H82" s="12" t="str">
        <f t="shared" si="7"/>
        <v>5125</v>
      </c>
      <c r="I82" s="12" t="str">
        <f t="shared" si="8"/>
        <v>No</v>
      </c>
      <c r="N82" s="12" t="str">
        <f t="shared" si="9"/>
        <v>Large</v>
      </c>
      <c r="O82" s="12" t="str">
        <f t="shared" si="10"/>
        <v>West</v>
      </c>
      <c r="P82" s="12">
        <f t="shared" si="11"/>
        <v>2</v>
      </c>
      <c r="Q82" s="12">
        <f t="shared" si="12"/>
        <v>1703.93</v>
      </c>
    </row>
    <row r="83" spans="1:17" ht="15" customHeight="1" x14ac:dyDescent="0.3">
      <c r="A83" s="12" t="s">
        <v>13</v>
      </c>
      <c r="B83" s="12" t="s">
        <v>12</v>
      </c>
      <c r="C83" s="12">
        <v>52</v>
      </c>
      <c r="D83" s="12">
        <v>20.7</v>
      </c>
      <c r="E83" s="12">
        <v>210</v>
      </c>
      <c r="F83" s="12">
        <v>4800</v>
      </c>
      <c r="G83" s="12" t="s">
        <v>9</v>
      </c>
      <c r="H83" s="12" t="str">
        <f t="shared" si="7"/>
        <v>3750</v>
      </c>
      <c r="I83" s="12" t="str">
        <f t="shared" si="8"/>
        <v>Yes</v>
      </c>
      <c r="N83" s="12" t="str">
        <f t="shared" si="9"/>
        <v>Medium</v>
      </c>
      <c r="O83" s="12" t="str">
        <f t="shared" si="10"/>
        <v>Central</v>
      </c>
      <c r="P83" s="12">
        <f t="shared" si="11"/>
        <v>2</v>
      </c>
      <c r="Q83" s="12">
        <f t="shared" si="12"/>
        <v>1687.33</v>
      </c>
    </row>
    <row r="84" spans="1:17" x14ac:dyDescent="0.3">
      <c r="A84" s="12" t="s">
        <v>14</v>
      </c>
      <c r="B84" s="12" t="s">
        <v>11</v>
      </c>
      <c r="C84" s="12">
        <v>45.4</v>
      </c>
      <c r="D84" s="12">
        <v>14.6</v>
      </c>
      <c r="E84" s="12">
        <v>211</v>
      </c>
      <c r="F84" s="12">
        <v>4800</v>
      </c>
      <c r="G84" s="12" t="s">
        <v>10</v>
      </c>
      <c r="H84" s="12" t="str">
        <f t="shared" si="7"/>
        <v>5125</v>
      </c>
      <c r="I84" s="12" t="str">
        <f t="shared" si="8"/>
        <v>No</v>
      </c>
      <c r="N84" s="12" t="str">
        <f t="shared" si="9"/>
        <v>Large</v>
      </c>
      <c r="O84" s="12" t="str">
        <f t="shared" si="10"/>
        <v>West</v>
      </c>
      <c r="P84" s="12">
        <f t="shared" si="11"/>
        <v>2</v>
      </c>
      <c r="Q84" s="12">
        <f t="shared" si="12"/>
        <v>1685.47</v>
      </c>
    </row>
    <row r="85" spans="1:17" x14ac:dyDescent="0.3">
      <c r="A85" s="12" t="s">
        <v>14</v>
      </c>
      <c r="B85" s="12" t="s">
        <v>11</v>
      </c>
      <c r="C85" s="12">
        <v>46.2</v>
      </c>
      <c r="D85" s="12">
        <v>14.5</v>
      </c>
      <c r="E85" s="12">
        <v>209</v>
      </c>
      <c r="F85" s="12">
        <v>4800</v>
      </c>
      <c r="G85" s="12" t="s">
        <v>10</v>
      </c>
      <c r="H85" s="12" t="str">
        <f t="shared" si="7"/>
        <v>5125</v>
      </c>
      <c r="I85" s="12" t="str">
        <f t="shared" si="8"/>
        <v>No</v>
      </c>
      <c r="N85" s="12" t="str">
        <f t="shared" si="9"/>
        <v>Large</v>
      </c>
      <c r="O85" s="12" t="str">
        <f t="shared" si="10"/>
        <v>West</v>
      </c>
      <c r="P85" s="12">
        <f t="shared" si="11"/>
        <v>2</v>
      </c>
      <c r="Q85" s="12">
        <f t="shared" si="12"/>
        <v>1685.07</v>
      </c>
    </row>
    <row r="86" spans="1:17" ht="16.2" customHeight="1" x14ac:dyDescent="0.3">
      <c r="A86" s="12" t="s">
        <v>7</v>
      </c>
      <c r="B86" s="12" t="s">
        <v>11</v>
      </c>
      <c r="C86" s="12">
        <v>43.2</v>
      </c>
      <c r="D86" s="12">
        <v>19</v>
      </c>
      <c r="E86" s="12">
        <v>197</v>
      </c>
      <c r="F86" s="12">
        <v>4775</v>
      </c>
      <c r="G86" s="12" t="s">
        <v>9</v>
      </c>
      <c r="H86" s="12" t="str">
        <f t="shared" si="7"/>
        <v>3812.5</v>
      </c>
      <c r="I86" s="12" t="str">
        <f t="shared" si="8"/>
        <v>Yes</v>
      </c>
      <c r="N86" s="12" t="str">
        <f t="shared" si="9"/>
        <v>Small</v>
      </c>
      <c r="O86" s="12" t="str">
        <f t="shared" si="10"/>
        <v>West</v>
      </c>
      <c r="P86" s="12">
        <f t="shared" si="11"/>
        <v>2</v>
      </c>
      <c r="Q86" s="12">
        <f t="shared" si="12"/>
        <v>1671.73</v>
      </c>
    </row>
    <row r="87" spans="1:17" x14ac:dyDescent="0.3">
      <c r="A87" s="12" t="s">
        <v>14</v>
      </c>
      <c r="B87" s="12" t="s">
        <v>11</v>
      </c>
      <c r="C87" s="12">
        <v>49.6</v>
      </c>
      <c r="D87" s="12">
        <v>15</v>
      </c>
      <c r="E87" s="12">
        <v>216</v>
      </c>
      <c r="F87" s="12">
        <v>4750</v>
      </c>
      <c r="G87" s="12" t="s">
        <v>9</v>
      </c>
      <c r="H87" s="12" t="str">
        <f t="shared" si="7"/>
        <v>5125</v>
      </c>
      <c r="I87" s="12" t="str">
        <f t="shared" si="8"/>
        <v>No</v>
      </c>
      <c r="N87" s="12" t="str">
        <f t="shared" si="9"/>
        <v>Large</v>
      </c>
      <c r="O87" s="12" t="str">
        <f t="shared" si="10"/>
        <v>West</v>
      </c>
      <c r="P87" s="12">
        <f t="shared" si="11"/>
        <v>2</v>
      </c>
      <c r="Q87" s="12">
        <f t="shared" si="12"/>
        <v>1671.87</v>
      </c>
    </row>
    <row r="88" spans="1:17" x14ac:dyDescent="0.3">
      <c r="A88" s="12" t="s">
        <v>14</v>
      </c>
      <c r="B88" s="12" t="s">
        <v>11</v>
      </c>
      <c r="C88" s="12">
        <v>47.7</v>
      </c>
      <c r="D88" s="12">
        <v>15</v>
      </c>
      <c r="E88" s="12">
        <v>216</v>
      </c>
      <c r="F88" s="12">
        <v>4750</v>
      </c>
      <c r="G88" s="12" t="s">
        <v>10</v>
      </c>
      <c r="H88" s="12" t="str">
        <f t="shared" si="7"/>
        <v>5125</v>
      </c>
      <c r="I88" s="12" t="str">
        <f t="shared" si="8"/>
        <v>No</v>
      </c>
      <c r="N88" s="12" t="str">
        <f t="shared" si="9"/>
        <v>Large</v>
      </c>
      <c r="O88" s="12" t="str">
        <f t="shared" si="10"/>
        <v>West</v>
      </c>
      <c r="P88" s="12">
        <f t="shared" si="11"/>
        <v>2</v>
      </c>
      <c r="Q88" s="12">
        <f t="shared" si="12"/>
        <v>1671.23</v>
      </c>
    </row>
    <row r="89" spans="1:17" x14ac:dyDescent="0.3">
      <c r="A89" s="12" t="s">
        <v>14</v>
      </c>
      <c r="B89" s="12" t="s">
        <v>11</v>
      </c>
      <c r="C89" s="12">
        <v>45.2</v>
      </c>
      <c r="D89" s="12">
        <v>13.8</v>
      </c>
      <c r="E89" s="12">
        <v>215</v>
      </c>
      <c r="F89" s="12">
        <v>4750</v>
      </c>
      <c r="G89" s="12" t="s">
        <v>10</v>
      </c>
      <c r="H89" s="12" t="str">
        <f t="shared" si="7"/>
        <v>5125</v>
      </c>
      <c r="I89" s="12" t="str">
        <f t="shared" si="8"/>
        <v>No</v>
      </c>
      <c r="N89" s="12" t="str">
        <f t="shared" si="9"/>
        <v>Large</v>
      </c>
      <c r="O89" s="12" t="str">
        <f t="shared" si="10"/>
        <v>West</v>
      </c>
      <c r="P89" s="12">
        <f t="shared" si="11"/>
        <v>2</v>
      </c>
      <c r="Q89" s="12">
        <f t="shared" si="12"/>
        <v>1670.07</v>
      </c>
    </row>
    <row r="90" spans="1:17" x14ac:dyDescent="0.3">
      <c r="A90" s="12" t="s">
        <v>14</v>
      </c>
      <c r="B90" s="12" t="s">
        <v>11</v>
      </c>
      <c r="C90" s="12">
        <v>44.9</v>
      </c>
      <c r="D90" s="12">
        <v>13.8</v>
      </c>
      <c r="E90" s="12">
        <v>212</v>
      </c>
      <c r="F90" s="12">
        <v>4750</v>
      </c>
      <c r="G90" s="12" t="s">
        <v>10</v>
      </c>
      <c r="H90" s="12" t="str">
        <f t="shared" si="7"/>
        <v>5125</v>
      </c>
      <c r="I90" s="12" t="str">
        <f t="shared" si="8"/>
        <v>No</v>
      </c>
      <c r="N90" s="12" t="str">
        <f t="shared" si="9"/>
        <v>Large</v>
      </c>
      <c r="O90" s="12" t="str">
        <f t="shared" si="10"/>
        <v>West</v>
      </c>
      <c r="P90" s="12">
        <f t="shared" si="11"/>
        <v>2</v>
      </c>
      <c r="Q90" s="12">
        <f t="shared" si="12"/>
        <v>1668.97</v>
      </c>
    </row>
    <row r="91" spans="1:17" x14ac:dyDescent="0.3">
      <c r="A91" s="12" t="s">
        <v>14</v>
      </c>
      <c r="B91" s="12" t="s">
        <v>11</v>
      </c>
      <c r="C91" s="12">
        <v>45.5</v>
      </c>
      <c r="D91" s="12">
        <v>14.5</v>
      </c>
      <c r="E91" s="12">
        <v>212</v>
      </c>
      <c r="F91" s="12">
        <v>4750</v>
      </c>
      <c r="G91" s="12" t="s">
        <v>10</v>
      </c>
      <c r="H91" s="12" t="str">
        <f t="shared" si="7"/>
        <v>5125</v>
      </c>
      <c r="I91" s="12" t="str">
        <f t="shared" si="8"/>
        <v>No</v>
      </c>
      <c r="N91" s="12" t="str">
        <f t="shared" si="9"/>
        <v>Large</v>
      </c>
      <c r="O91" s="12" t="str">
        <f t="shared" si="10"/>
        <v>West</v>
      </c>
      <c r="P91" s="12">
        <f t="shared" si="11"/>
        <v>2</v>
      </c>
      <c r="Q91" s="12">
        <f t="shared" si="12"/>
        <v>1669.17</v>
      </c>
    </row>
    <row r="92" spans="1:17" x14ac:dyDescent="0.3">
      <c r="A92" s="12" t="s">
        <v>7</v>
      </c>
      <c r="B92" s="12" t="s">
        <v>11</v>
      </c>
      <c r="C92" s="12">
        <v>41</v>
      </c>
      <c r="D92" s="12">
        <v>20</v>
      </c>
      <c r="E92" s="12">
        <v>203</v>
      </c>
      <c r="F92" s="12">
        <v>4725</v>
      </c>
      <c r="G92" s="12" t="s">
        <v>9</v>
      </c>
      <c r="H92" s="12" t="str">
        <f t="shared" si="7"/>
        <v>3812.5</v>
      </c>
      <c r="I92" s="12" t="str">
        <f t="shared" si="8"/>
        <v>Yes</v>
      </c>
      <c r="N92" s="12" t="str">
        <f t="shared" si="9"/>
        <v>Small</v>
      </c>
      <c r="O92" s="12" t="str">
        <f t="shared" si="10"/>
        <v>West</v>
      </c>
      <c r="P92" s="12">
        <f t="shared" si="11"/>
        <v>2</v>
      </c>
      <c r="Q92" s="12">
        <f t="shared" si="12"/>
        <v>1656.33</v>
      </c>
    </row>
    <row r="93" spans="1:17" x14ac:dyDescent="0.3">
      <c r="A93" s="12" t="s">
        <v>14</v>
      </c>
      <c r="B93" s="12" t="s">
        <v>11</v>
      </c>
      <c r="C93" s="12">
        <v>47.4</v>
      </c>
      <c r="D93" s="12">
        <v>14.6</v>
      </c>
      <c r="E93" s="12">
        <v>212</v>
      </c>
      <c r="F93" s="12">
        <v>4725</v>
      </c>
      <c r="G93" s="12" t="s">
        <v>10</v>
      </c>
      <c r="H93" s="12" t="str">
        <f t="shared" si="7"/>
        <v>5125</v>
      </c>
      <c r="I93" s="12" t="str">
        <f t="shared" si="8"/>
        <v>No</v>
      </c>
      <c r="N93" s="12" t="str">
        <f t="shared" si="9"/>
        <v>Large</v>
      </c>
      <c r="O93" s="12" t="str">
        <f t="shared" si="10"/>
        <v>West</v>
      </c>
      <c r="P93" s="12">
        <f t="shared" si="11"/>
        <v>2</v>
      </c>
      <c r="Q93" s="12">
        <f t="shared" si="12"/>
        <v>1661.47</v>
      </c>
    </row>
    <row r="94" spans="1:17" x14ac:dyDescent="0.3">
      <c r="A94" s="12" t="s">
        <v>14</v>
      </c>
      <c r="B94" s="12" t="s">
        <v>11</v>
      </c>
      <c r="C94" s="12">
        <v>47.3</v>
      </c>
      <c r="D94" s="12">
        <v>13.8</v>
      </c>
      <c r="E94" s="12">
        <v>216</v>
      </c>
      <c r="F94" s="12">
        <v>4725</v>
      </c>
      <c r="H94" s="12" t="str">
        <f t="shared" si="7"/>
        <v>5125</v>
      </c>
      <c r="I94" s="12" t="str">
        <f t="shared" si="8"/>
        <v>No</v>
      </c>
      <c r="N94" s="12" t="str">
        <f t="shared" si="9"/>
        <v>Large</v>
      </c>
      <c r="O94" s="12" t="str">
        <f t="shared" si="10"/>
        <v>West</v>
      </c>
      <c r="P94" s="12">
        <f t="shared" si="11"/>
        <v>2</v>
      </c>
      <c r="Q94" s="12">
        <f t="shared" si="12"/>
        <v>1662.77</v>
      </c>
    </row>
    <row r="95" spans="1:17" x14ac:dyDescent="0.3">
      <c r="A95" s="12" t="s">
        <v>7</v>
      </c>
      <c r="B95" s="12" t="s">
        <v>8</v>
      </c>
      <c r="C95" s="12">
        <v>42.9</v>
      </c>
      <c r="D95" s="12">
        <v>17.600000000000001</v>
      </c>
      <c r="E95" s="12">
        <v>196</v>
      </c>
      <c r="F95" s="12">
        <v>4700</v>
      </c>
      <c r="G95" s="12" t="s">
        <v>9</v>
      </c>
      <c r="H95" s="12" t="str">
        <f t="shared" si="7"/>
        <v>3812.5</v>
      </c>
      <c r="I95" s="12" t="str">
        <f t="shared" si="8"/>
        <v>Yes</v>
      </c>
      <c r="N95" s="12" t="str">
        <f t="shared" si="9"/>
        <v>Small</v>
      </c>
      <c r="O95" s="12" t="str">
        <f t="shared" si="10"/>
        <v>East</v>
      </c>
      <c r="P95" s="12">
        <f t="shared" si="11"/>
        <v>2</v>
      </c>
      <c r="Q95" s="12">
        <f t="shared" si="12"/>
        <v>1646.3</v>
      </c>
    </row>
    <row r="96" spans="1:17" x14ac:dyDescent="0.3">
      <c r="A96" s="12" t="s">
        <v>14</v>
      </c>
      <c r="B96" s="12" t="s">
        <v>11</v>
      </c>
      <c r="C96" s="12">
        <v>42.8</v>
      </c>
      <c r="D96" s="12">
        <v>14.2</v>
      </c>
      <c r="E96" s="12">
        <v>209</v>
      </c>
      <c r="F96" s="12">
        <v>4700</v>
      </c>
      <c r="G96" s="12" t="s">
        <v>10</v>
      </c>
      <c r="H96" s="12" t="str">
        <f t="shared" si="7"/>
        <v>5125</v>
      </c>
      <c r="I96" s="12" t="str">
        <f t="shared" si="8"/>
        <v>No</v>
      </c>
      <c r="N96" s="12" t="str">
        <f t="shared" si="9"/>
        <v>Large</v>
      </c>
      <c r="O96" s="12" t="str">
        <f t="shared" si="10"/>
        <v>West</v>
      </c>
      <c r="P96" s="12">
        <f t="shared" si="11"/>
        <v>2</v>
      </c>
      <c r="Q96" s="12">
        <f t="shared" si="12"/>
        <v>1650.6</v>
      </c>
    </row>
    <row r="97" spans="1:17" x14ac:dyDescent="0.3">
      <c r="A97" s="12" t="s">
        <v>14</v>
      </c>
      <c r="B97" s="12" t="s">
        <v>11</v>
      </c>
      <c r="C97" s="12">
        <v>45.8</v>
      </c>
      <c r="D97" s="12">
        <v>14.2</v>
      </c>
      <c r="E97" s="12">
        <v>219</v>
      </c>
      <c r="F97" s="12">
        <v>4700</v>
      </c>
      <c r="G97" s="12" t="s">
        <v>10</v>
      </c>
      <c r="H97" s="12" t="str">
        <f t="shared" si="7"/>
        <v>5125</v>
      </c>
      <c r="I97" s="12" t="str">
        <f t="shared" si="8"/>
        <v>No</v>
      </c>
      <c r="N97" s="12" t="str">
        <f t="shared" si="9"/>
        <v>Large</v>
      </c>
      <c r="O97" s="12" t="str">
        <f t="shared" si="10"/>
        <v>West</v>
      </c>
      <c r="P97" s="12">
        <f t="shared" si="11"/>
        <v>2</v>
      </c>
      <c r="Q97" s="12">
        <f t="shared" si="12"/>
        <v>1654.93</v>
      </c>
    </row>
    <row r="98" spans="1:17" x14ac:dyDescent="0.3">
      <c r="A98" s="12" t="s">
        <v>14</v>
      </c>
      <c r="B98" s="12" t="s">
        <v>11</v>
      </c>
      <c r="C98" s="12">
        <v>43.5</v>
      </c>
      <c r="D98" s="12">
        <v>14.2</v>
      </c>
      <c r="E98" s="12">
        <v>220</v>
      </c>
      <c r="F98" s="12">
        <v>4700</v>
      </c>
      <c r="G98" s="12" t="s">
        <v>10</v>
      </c>
      <c r="H98" s="12" t="str">
        <f t="shared" si="7"/>
        <v>5125</v>
      </c>
      <c r="I98" s="12" t="str">
        <f t="shared" si="8"/>
        <v>No</v>
      </c>
      <c r="N98" s="12" t="str">
        <f t="shared" si="9"/>
        <v>Large</v>
      </c>
      <c r="O98" s="12" t="str">
        <f t="shared" si="10"/>
        <v>West</v>
      </c>
      <c r="P98" s="12">
        <f t="shared" si="11"/>
        <v>2</v>
      </c>
      <c r="Q98" s="12">
        <f t="shared" si="12"/>
        <v>1654.5</v>
      </c>
    </row>
    <row r="99" spans="1:17" x14ac:dyDescent="0.3">
      <c r="A99" s="12" t="s">
        <v>14</v>
      </c>
      <c r="B99" s="12" t="s">
        <v>11</v>
      </c>
      <c r="C99" s="12">
        <v>46.4</v>
      </c>
      <c r="D99" s="12">
        <v>15</v>
      </c>
      <c r="E99" s="12">
        <v>216</v>
      </c>
      <c r="F99" s="12">
        <v>4700</v>
      </c>
      <c r="G99" s="12" t="s">
        <v>10</v>
      </c>
      <c r="H99" s="12" t="str">
        <f t="shared" si="7"/>
        <v>5125</v>
      </c>
      <c r="I99" s="12" t="str">
        <f t="shared" si="8"/>
        <v>No</v>
      </c>
      <c r="N99" s="12" t="str">
        <f t="shared" si="9"/>
        <v>Large</v>
      </c>
      <c r="O99" s="12" t="str">
        <f t="shared" si="10"/>
        <v>West</v>
      </c>
      <c r="P99" s="12">
        <f t="shared" si="11"/>
        <v>2</v>
      </c>
      <c r="Q99" s="12">
        <f t="shared" si="12"/>
        <v>1654.13</v>
      </c>
    </row>
    <row r="100" spans="1:17" x14ac:dyDescent="0.3">
      <c r="A100" s="12" t="s">
        <v>14</v>
      </c>
      <c r="B100" s="12" t="s">
        <v>11</v>
      </c>
      <c r="C100" s="12">
        <v>41.7</v>
      </c>
      <c r="D100" s="12">
        <v>14.7</v>
      </c>
      <c r="E100" s="12">
        <v>210</v>
      </c>
      <c r="F100" s="12">
        <v>4700</v>
      </c>
      <c r="G100" s="12" t="s">
        <v>10</v>
      </c>
      <c r="H100" s="12" t="str">
        <f t="shared" si="7"/>
        <v>5125</v>
      </c>
      <c r="I100" s="12" t="str">
        <f t="shared" si="8"/>
        <v>No</v>
      </c>
      <c r="N100" s="12" t="str">
        <f t="shared" si="9"/>
        <v>Large</v>
      </c>
      <c r="O100" s="12" t="str">
        <f t="shared" si="10"/>
        <v>West</v>
      </c>
      <c r="P100" s="12">
        <f t="shared" si="11"/>
        <v>2</v>
      </c>
      <c r="Q100" s="12">
        <f t="shared" si="12"/>
        <v>1650.57</v>
      </c>
    </row>
    <row r="101" spans="1:17" x14ac:dyDescent="0.3">
      <c r="A101" s="12" t="s">
        <v>7</v>
      </c>
      <c r="B101" s="12" t="s">
        <v>8</v>
      </c>
      <c r="C101" s="12">
        <v>39.200000000000003</v>
      </c>
      <c r="D101" s="12">
        <v>19.600000000000001</v>
      </c>
      <c r="E101" s="12">
        <v>195</v>
      </c>
      <c r="F101" s="12">
        <v>4675</v>
      </c>
      <c r="G101" s="12" t="s">
        <v>9</v>
      </c>
      <c r="H101" s="12" t="str">
        <f t="shared" si="7"/>
        <v>3812.5</v>
      </c>
      <c r="I101" s="12" t="str">
        <f t="shared" si="8"/>
        <v>Yes</v>
      </c>
      <c r="N101" s="12" t="str">
        <f t="shared" si="9"/>
        <v>Small</v>
      </c>
      <c r="O101" s="12" t="str">
        <f t="shared" si="10"/>
        <v>East</v>
      </c>
      <c r="P101" s="12">
        <f t="shared" si="11"/>
        <v>2</v>
      </c>
      <c r="Q101" s="12">
        <f t="shared" si="12"/>
        <v>1636.4</v>
      </c>
    </row>
    <row r="102" spans="1:17" x14ac:dyDescent="0.3">
      <c r="A102" s="12" t="s">
        <v>7</v>
      </c>
      <c r="B102" s="12" t="s">
        <v>12</v>
      </c>
      <c r="C102" s="12">
        <v>39.799999999999997</v>
      </c>
      <c r="D102" s="12">
        <v>19.100000000000001</v>
      </c>
      <c r="E102" s="12">
        <v>184</v>
      </c>
      <c r="F102" s="12">
        <v>4650</v>
      </c>
      <c r="G102" s="12" t="s">
        <v>9</v>
      </c>
      <c r="H102" s="12" t="str">
        <f t="shared" si="7"/>
        <v>3812.5</v>
      </c>
      <c r="I102" s="12" t="str">
        <f t="shared" si="8"/>
        <v>Yes</v>
      </c>
      <c r="N102" s="12" t="str">
        <f t="shared" si="9"/>
        <v>Small</v>
      </c>
      <c r="O102" s="12" t="str">
        <f t="shared" si="10"/>
        <v>Central</v>
      </c>
      <c r="P102" s="12">
        <f t="shared" si="11"/>
        <v>2</v>
      </c>
      <c r="Q102" s="12">
        <f t="shared" si="12"/>
        <v>1624.6</v>
      </c>
    </row>
    <row r="103" spans="1:17" x14ac:dyDescent="0.3">
      <c r="A103" s="12" t="s">
        <v>14</v>
      </c>
      <c r="B103" s="12" t="s">
        <v>11</v>
      </c>
      <c r="C103" s="12">
        <v>40.9</v>
      </c>
      <c r="D103" s="12">
        <v>13.7</v>
      </c>
      <c r="E103" s="12">
        <v>214</v>
      </c>
      <c r="F103" s="12">
        <v>4650</v>
      </c>
      <c r="G103" s="12" t="s">
        <v>10</v>
      </c>
      <c r="H103" s="12" t="str">
        <f t="shared" si="7"/>
        <v>5125</v>
      </c>
      <c r="I103" s="12" t="str">
        <f t="shared" si="8"/>
        <v>No</v>
      </c>
      <c r="N103" s="12" t="str">
        <f t="shared" si="9"/>
        <v>Large</v>
      </c>
      <c r="O103" s="12" t="str">
        <f t="shared" si="10"/>
        <v>West</v>
      </c>
      <c r="P103" s="12">
        <f t="shared" si="11"/>
        <v>2</v>
      </c>
      <c r="Q103" s="12">
        <f t="shared" si="12"/>
        <v>1634.97</v>
      </c>
    </row>
    <row r="104" spans="1:17" x14ac:dyDescent="0.3">
      <c r="A104" s="12" t="s">
        <v>14</v>
      </c>
      <c r="B104" s="12" t="s">
        <v>11</v>
      </c>
      <c r="C104" s="12">
        <v>45.5</v>
      </c>
      <c r="D104" s="12">
        <v>13.7</v>
      </c>
      <c r="E104" s="12">
        <v>214</v>
      </c>
      <c r="F104" s="12">
        <v>4650</v>
      </c>
      <c r="G104" s="12" t="s">
        <v>10</v>
      </c>
      <c r="H104" s="12" t="str">
        <f t="shared" si="7"/>
        <v>5125</v>
      </c>
      <c r="I104" s="12" t="str">
        <f t="shared" si="8"/>
        <v>No</v>
      </c>
      <c r="N104" s="12" t="str">
        <f t="shared" si="9"/>
        <v>Large</v>
      </c>
      <c r="O104" s="12" t="str">
        <f t="shared" si="10"/>
        <v>West</v>
      </c>
      <c r="P104" s="12">
        <f t="shared" si="11"/>
        <v>2</v>
      </c>
      <c r="Q104" s="12">
        <f t="shared" si="12"/>
        <v>1636.5</v>
      </c>
    </row>
    <row r="105" spans="1:17" x14ac:dyDescent="0.3">
      <c r="A105" s="12" t="s">
        <v>14</v>
      </c>
      <c r="B105" s="12" t="s">
        <v>11</v>
      </c>
      <c r="C105" s="12">
        <v>46.2</v>
      </c>
      <c r="D105" s="12">
        <v>14.4</v>
      </c>
      <c r="E105" s="12">
        <v>214</v>
      </c>
      <c r="F105" s="12">
        <v>4650</v>
      </c>
      <c r="H105" s="12" t="str">
        <f t="shared" si="7"/>
        <v>5125</v>
      </c>
      <c r="I105" s="12" t="str">
        <f t="shared" si="8"/>
        <v>No</v>
      </c>
      <c r="N105" s="12" t="str">
        <f t="shared" si="9"/>
        <v>Large</v>
      </c>
      <c r="O105" s="12" t="str">
        <f t="shared" si="10"/>
        <v>West</v>
      </c>
      <c r="P105" s="12">
        <f t="shared" si="11"/>
        <v>2</v>
      </c>
      <c r="Q105" s="12">
        <f t="shared" si="12"/>
        <v>1636.73</v>
      </c>
    </row>
    <row r="106" spans="1:17" x14ac:dyDescent="0.3">
      <c r="A106" s="12" t="s">
        <v>14</v>
      </c>
      <c r="B106" s="12" t="s">
        <v>11</v>
      </c>
      <c r="C106" s="12">
        <v>43.5</v>
      </c>
      <c r="D106" s="12">
        <v>15.2</v>
      </c>
      <c r="E106" s="12">
        <v>213</v>
      </c>
      <c r="F106" s="12">
        <v>4650</v>
      </c>
      <c r="G106" s="12" t="s">
        <v>10</v>
      </c>
      <c r="H106" s="12" t="str">
        <f t="shared" si="7"/>
        <v>5125</v>
      </c>
      <c r="I106" s="12" t="str">
        <f t="shared" si="8"/>
        <v>No</v>
      </c>
      <c r="N106" s="12" t="str">
        <f t="shared" si="9"/>
        <v>Large</v>
      </c>
      <c r="O106" s="12" t="str">
        <f t="shared" si="10"/>
        <v>West</v>
      </c>
      <c r="P106" s="12">
        <f t="shared" si="11"/>
        <v>2</v>
      </c>
      <c r="Q106" s="12">
        <f t="shared" si="12"/>
        <v>1635.5</v>
      </c>
    </row>
    <row r="107" spans="1:17" x14ac:dyDescent="0.3">
      <c r="A107" s="12" t="s">
        <v>14</v>
      </c>
      <c r="B107" s="12" t="s">
        <v>11</v>
      </c>
      <c r="C107" s="12">
        <v>49.1</v>
      </c>
      <c r="D107" s="12">
        <v>14.5</v>
      </c>
      <c r="E107" s="12">
        <v>212</v>
      </c>
      <c r="F107" s="12">
        <v>4625</v>
      </c>
      <c r="G107" s="12" t="s">
        <v>10</v>
      </c>
      <c r="H107" s="12" t="str">
        <f t="shared" si="7"/>
        <v>5125</v>
      </c>
      <c r="I107" s="12" t="str">
        <f t="shared" si="8"/>
        <v>No</v>
      </c>
      <c r="N107" s="12" t="str">
        <f t="shared" si="9"/>
        <v>Large</v>
      </c>
      <c r="O107" s="12" t="str">
        <f t="shared" si="10"/>
        <v>West</v>
      </c>
      <c r="P107" s="12">
        <f t="shared" si="11"/>
        <v>2</v>
      </c>
      <c r="Q107" s="12">
        <f t="shared" si="12"/>
        <v>1628.7</v>
      </c>
    </row>
    <row r="108" spans="1:17" x14ac:dyDescent="0.3">
      <c r="A108" s="12" t="s">
        <v>14</v>
      </c>
      <c r="B108" s="12" t="s">
        <v>11</v>
      </c>
      <c r="C108" s="12">
        <v>48.4</v>
      </c>
      <c r="D108" s="12">
        <v>14.4</v>
      </c>
      <c r="E108" s="12">
        <v>203</v>
      </c>
      <c r="F108" s="12">
        <v>4625</v>
      </c>
      <c r="G108" s="12" t="s">
        <v>10</v>
      </c>
      <c r="H108" s="12" t="str">
        <f t="shared" si="7"/>
        <v>5125</v>
      </c>
      <c r="I108" s="12" t="str">
        <f t="shared" si="8"/>
        <v>No</v>
      </c>
      <c r="N108" s="12" t="str">
        <f t="shared" si="9"/>
        <v>Large</v>
      </c>
      <c r="O108" s="12" t="str">
        <f t="shared" si="10"/>
        <v>West</v>
      </c>
      <c r="P108" s="12">
        <f t="shared" si="11"/>
        <v>2</v>
      </c>
      <c r="Q108" s="12">
        <f t="shared" si="12"/>
        <v>1625.47</v>
      </c>
    </row>
    <row r="109" spans="1:17" x14ac:dyDescent="0.3">
      <c r="A109" s="12" t="s">
        <v>7</v>
      </c>
      <c r="B109" s="12" t="s">
        <v>12</v>
      </c>
      <c r="C109" s="12">
        <v>39.6</v>
      </c>
      <c r="D109" s="12">
        <v>18.8</v>
      </c>
      <c r="E109" s="12">
        <v>190</v>
      </c>
      <c r="F109" s="12">
        <v>4600</v>
      </c>
      <c r="G109" s="12" t="s">
        <v>9</v>
      </c>
      <c r="H109" s="12" t="str">
        <f t="shared" si="7"/>
        <v>3812.5</v>
      </c>
      <c r="I109" s="12" t="str">
        <f t="shared" si="8"/>
        <v>Yes</v>
      </c>
      <c r="N109" s="12" t="str">
        <f t="shared" si="9"/>
        <v>Small</v>
      </c>
      <c r="O109" s="12" t="str">
        <f t="shared" si="10"/>
        <v>Central</v>
      </c>
      <c r="P109" s="12">
        <f t="shared" si="11"/>
        <v>2</v>
      </c>
      <c r="Q109" s="12">
        <f t="shared" si="12"/>
        <v>1609.87</v>
      </c>
    </row>
    <row r="110" spans="1:17" x14ac:dyDescent="0.3">
      <c r="A110" s="12" t="s">
        <v>7</v>
      </c>
      <c r="B110" s="12" t="s">
        <v>11</v>
      </c>
      <c r="C110" s="12">
        <v>45.6</v>
      </c>
      <c r="D110" s="12">
        <v>20.3</v>
      </c>
      <c r="E110" s="12">
        <v>191</v>
      </c>
      <c r="F110" s="12">
        <v>4600</v>
      </c>
      <c r="G110" s="12" t="s">
        <v>9</v>
      </c>
      <c r="H110" s="12" t="str">
        <f t="shared" si="7"/>
        <v>3812.5</v>
      </c>
      <c r="I110" s="12" t="str">
        <f t="shared" si="8"/>
        <v>Yes</v>
      </c>
      <c r="N110" s="12" t="str">
        <f t="shared" si="9"/>
        <v>Small</v>
      </c>
      <c r="O110" s="12" t="str">
        <f t="shared" si="10"/>
        <v>West</v>
      </c>
      <c r="P110" s="12">
        <f t="shared" si="11"/>
        <v>2</v>
      </c>
      <c r="Q110" s="12">
        <f t="shared" si="12"/>
        <v>1612.2</v>
      </c>
    </row>
    <row r="111" spans="1:17" x14ac:dyDescent="0.3">
      <c r="A111" s="12" t="s">
        <v>14</v>
      </c>
      <c r="B111" s="12" t="s">
        <v>11</v>
      </c>
      <c r="C111" s="12">
        <v>48.2</v>
      </c>
      <c r="D111" s="12">
        <v>14.3</v>
      </c>
      <c r="E111" s="12">
        <v>210</v>
      </c>
      <c r="F111" s="12">
        <v>4600</v>
      </c>
      <c r="G111" s="12" t="s">
        <v>10</v>
      </c>
      <c r="H111" s="12" t="str">
        <f t="shared" si="7"/>
        <v>5125</v>
      </c>
      <c r="I111" s="12" t="str">
        <f t="shared" si="8"/>
        <v>No</v>
      </c>
      <c r="N111" s="12" t="str">
        <f t="shared" si="9"/>
        <v>Large</v>
      </c>
      <c r="O111" s="12" t="str">
        <f t="shared" si="10"/>
        <v>West</v>
      </c>
      <c r="P111" s="12">
        <f t="shared" si="11"/>
        <v>2</v>
      </c>
      <c r="Q111" s="12">
        <f t="shared" si="12"/>
        <v>1619.4</v>
      </c>
    </row>
    <row r="112" spans="1:17" x14ac:dyDescent="0.3">
      <c r="A112" s="12" t="s">
        <v>14</v>
      </c>
      <c r="B112" s="12" t="s">
        <v>11</v>
      </c>
      <c r="C112" s="12">
        <v>47.5</v>
      </c>
      <c r="D112" s="12">
        <v>14.2</v>
      </c>
      <c r="E112" s="12">
        <v>209</v>
      </c>
      <c r="F112" s="12">
        <v>4600</v>
      </c>
      <c r="G112" s="12" t="s">
        <v>10</v>
      </c>
      <c r="H112" s="12" t="str">
        <f t="shared" si="7"/>
        <v>5125</v>
      </c>
      <c r="I112" s="12" t="str">
        <f t="shared" si="8"/>
        <v>No</v>
      </c>
      <c r="N112" s="12" t="str">
        <f t="shared" si="9"/>
        <v>Large</v>
      </c>
      <c r="O112" s="12" t="str">
        <f t="shared" si="10"/>
        <v>West</v>
      </c>
      <c r="P112" s="12">
        <f t="shared" si="11"/>
        <v>2</v>
      </c>
      <c r="Q112" s="12">
        <f t="shared" si="12"/>
        <v>1618.83</v>
      </c>
    </row>
    <row r="113" spans="1:17" x14ac:dyDescent="0.3">
      <c r="A113" s="12" t="s">
        <v>14</v>
      </c>
      <c r="B113" s="12" t="s">
        <v>11</v>
      </c>
      <c r="C113" s="12">
        <v>43.4</v>
      </c>
      <c r="D113" s="12">
        <v>14.4</v>
      </c>
      <c r="E113" s="12">
        <v>218</v>
      </c>
      <c r="F113" s="12">
        <v>4600</v>
      </c>
      <c r="G113" s="12" t="s">
        <v>10</v>
      </c>
      <c r="H113" s="12" t="str">
        <f t="shared" si="7"/>
        <v>5125</v>
      </c>
      <c r="I113" s="12" t="str">
        <f t="shared" si="8"/>
        <v>No</v>
      </c>
      <c r="N113" s="12" t="str">
        <f t="shared" si="9"/>
        <v>Large</v>
      </c>
      <c r="O113" s="12" t="str">
        <f t="shared" si="10"/>
        <v>West</v>
      </c>
      <c r="P113" s="12">
        <f t="shared" si="11"/>
        <v>2</v>
      </c>
      <c r="Q113" s="12">
        <f t="shared" si="12"/>
        <v>1620.47</v>
      </c>
    </row>
    <row r="114" spans="1:17" x14ac:dyDescent="0.3">
      <c r="A114" s="12" t="s">
        <v>14</v>
      </c>
      <c r="B114" s="12" t="s">
        <v>11</v>
      </c>
      <c r="C114" s="12">
        <v>43.3</v>
      </c>
      <c r="D114" s="12">
        <v>14</v>
      </c>
      <c r="E114" s="12">
        <v>208</v>
      </c>
      <c r="F114" s="12">
        <v>4575</v>
      </c>
      <c r="G114" s="12" t="s">
        <v>10</v>
      </c>
      <c r="H114" s="12" t="str">
        <f t="shared" si="7"/>
        <v>5125</v>
      </c>
      <c r="I114" s="12" t="str">
        <f t="shared" si="8"/>
        <v>No</v>
      </c>
      <c r="N114" s="12" t="str">
        <f t="shared" si="9"/>
        <v>Large</v>
      </c>
      <c r="O114" s="12" t="str">
        <f t="shared" si="10"/>
        <v>West</v>
      </c>
      <c r="P114" s="12">
        <f t="shared" si="11"/>
        <v>2</v>
      </c>
      <c r="Q114" s="12">
        <f t="shared" si="12"/>
        <v>1608.77</v>
      </c>
    </row>
    <row r="115" spans="1:17" x14ac:dyDescent="0.3">
      <c r="A115" s="12" t="s">
        <v>13</v>
      </c>
      <c r="B115" s="12" t="s">
        <v>12</v>
      </c>
      <c r="C115" s="12">
        <v>52.8</v>
      </c>
      <c r="D115" s="12">
        <v>20</v>
      </c>
      <c r="E115" s="12">
        <v>205</v>
      </c>
      <c r="F115" s="12">
        <v>4550</v>
      </c>
      <c r="G115" s="12" t="s">
        <v>9</v>
      </c>
      <c r="H115" s="12" t="str">
        <f t="shared" si="7"/>
        <v>3750</v>
      </c>
      <c r="I115" s="12" t="str">
        <f t="shared" si="8"/>
        <v>Yes</v>
      </c>
      <c r="N115" s="12" t="str">
        <f t="shared" si="9"/>
        <v>Medium</v>
      </c>
      <c r="O115" s="12" t="str">
        <f t="shared" si="10"/>
        <v>Central</v>
      </c>
      <c r="P115" s="12">
        <f t="shared" si="11"/>
        <v>2</v>
      </c>
      <c r="Q115" s="12">
        <f t="shared" si="12"/>
        <v>1602.6</v>
      </c>
    </row>
    <row r="116" spans="1:17" x14ac:dyDescent="0.3">
      <c r="A116" s="12" t="s">
        <v>14</v>
      </c>
      <c r="B116" s="12" t="s">
        <v>11</v>
      </c>
      <c r="C116" s="12">
        <v>46.5</v>
      </c>
      <c r="D116" s="12">
        <v>13.5</v>
      </c>
      <c r="E116" s="12">
        <v>210</v>
      </c>
      <c r="F116" s="12">
        <v>4550</v>
      </c>
      <c r="G116" s="12" t="s">
        <v>10</v>
      </c>
      <c r="H116" s="12" t="str">
        <f t="shared" si="7"/>
        <v>5125</v>
      </c>
      <c r="I116" s="12" t="str">
        <f t="shared" si="8"/>
        <v>No</v>
      </c>
      <c r="N116" s="12" t="str">
        <f t="shared" si="9"/>
        <v>Large</v>
      </c>
      <c r="O116" s="12" t="str">
        <f t="shared" si="10"/>
        <v>West</v>
      </c>
      <c r="P116" s="12">
        <f t="shared" si="11"/>
        <v>2</v>
      </c>
      <c r="Q116" s="12">
        <f t="shared" si="12"/>
        <v>1602.17</v>
      </c>
    </row>
    <row r="117" spans="1:17" x14ac:dyDescent="0.3">
      <c r="A117" s="12" t="s">
        <v>7</v>
      </c>
      <c r="B117" s="12" t="s">
        <v>8</v>
      </c>
      <c r="C117" s="12">
        <v>42.5</v>
      </c>
      <c r="D117" s="12">
        <v>20.7</v>
      </c>
      <c r="E117" s="12">
        <v>197</v>
      </c>
      <c r="F117" s="12">
        <v>4500</v>
      </c>
      <c r="G117" s="12" t="s">
        <v>9</v>
      </c>
      <c r="H117" s="12" t="str">
        <f t="shared" si="7"/>
        <v>3812.5</v>
      </c>
      <c r="I117" s="12" t="str">
        <f t="shared" si="8"/>
        <v>Yes</v>
      </c>
      <c r="N117" s="12" t="str">
        <f t="shared" si="9"/>
        <v>Small</v>
      </c>
      <c r="O117" s="12" t="str">
        <f t="shared" si="10"/>
        <v>East</v>
      </c>
      <c r="P117" s="12">
        <f t="shared" si="11"/>
        <v>2</v>
      </c>
      <c r="Q117" s="12">
        <f t="shared" si="12"/>
        <v>1579.83</v>
      </c>
    </row>
    <row r="118" spans="1:17" x14ac:dyDescent="0.3">
      <c r="A118" s="12" t="s">
        <v>13</v>
      </c>
      <c r="B118" s="12" t="s">
        <v>12</v>
      </c>
      <c r="C118" s="12">
        <v>53.5</v>
      </c>
      <c r="D118" s="12">
        <v>19.899999999999999</v>
      </c>
      <c r="E118" s="12">
        <v>205</v>
      </c>
      <c r="F118" s="12">
        <v>4500</v>
      </c>
      <c r="G118" s="12" t="s">
        <v>9</v>
      </c>
      <c r="H118" s="12" t="str">
        <f t="shared" si="7"/>
        <v>3750</v>
      </c>
      <c r="I118" s="12" t="str">
        <f t="shared" si="8"/>
        <v>Yes</v>
      </c>
      <c r="N118" s="12" t="str">
        <f t="shared" si="9"/>
        <v>Medium</v>
      </c>
      <c r="O118" s="12" t="str">
        <f t="shared" si="10"/>
        <v>Central</v>
      </c>
      <c r="P118" s="12">
        <f t="shared" si="11"/>
        <v>2</v>
      </c>
      <c r="Q118" s="12">
        <f t="shared" si="12"/>
        <v>1586.17</v>
      </c>
    </row>
    <row r="119" spans="1:17" x14ac:dyDescent="0.3">
      <c r="A119" s="12" t="s">
        <v>14</v>
      </c>
      <c r="B119" s="12" t="s">
        <v>11</v>
      </c>
      <c r="C119" s="12">
        <v>46.1</v>
      </c>
      <c r="D119" s="12">
        <v>13.2</v>
      </c>
      <c r="E119" s="12">
        <v>211</v>
      </c>
      <c r="F119" s="12">
        <v>4500</v>
      </c>
      <c r="G119" s="12" t="s">
        <v>10</v>
      </c>
      <c r="H119" s="12" t="str">
        <f t="shared" si="7"/>
        <v>5125</v>
      </c>
      <c r="I119" s="12" t="str">
        <f t="shared" si="8"/>
        <v>No</v>
      </c>
      <c r="N119" s="12" t="str">
        <f t="shared" si="9"/>
        <v>Large</v>
      </c>
      <c r="O119" s="12" t="str">
        <f t="shared" si="10"/>
        <v>West</v>
      </c>
      <c r="P119" s="12">
        <f t="shared" si="11"/>
        <v>2</v>
      </c>
      <c r="Q119" s="12">
        <f t="shared" si="12"/>
        <v>1585.7</v>
      </c>
    </row>
    <row r="120" spans="1:17" x14ac:dyDescent="0.3">
      <c r="A120" s="12" t="s">
        <v>7</v>
      </c>
      <c r="B120" s="12" t="s">
        <v>12</v>
      </c>
      <c r="C120" s="12">
        <v>37.5</v>
      </c>
      <c r="D120" s="12">
        <v>18.5</v>
      </c>
      <c r="E120" s="12">
        <v>199</v>
      </c>
      <c r="F120" s="12">
        <v>4475</v>
      </c>
      <c r="G120" s="12" t="s">
        <v>9</v>
      </c>
      <c r="H120" s="12" t="str">
        <f t="shared" si="7"/>
        <v>3812.5</v>
      </c>
      <c r="I120" s="12" t="str">
        <f t="shared" si="8"/>
        <v>Yes</v>
      </c>
      <c r="N120" s="12" t="str">
        <f t="shared" si="9"/>
        <v>Small</v>
      </c>
      <c r="O120" s="12" t="str">
        <f t="shared" si="10"/>
        <v>Central</v>
      </c>
      <c r="P120" s="12">
        <f t="shared" si="11"/>
        <v>2</v>
      </c>
      <c r="Q120" s="12">
        <f t="shared" si="12"/>
        <v>1570.5</v>
      </c>
    </row>
    <row r="121" spans="1:17" x14ac:dyDescent="0.3">
      <c r="A121" s="12" t="s">
        <v>7</v>
      </c>
      <c r="B121" s="12" t="s">
        <v>8</v>
      </c>
      <c r="C121" s="12">
        <v>41.8</v>
      </c>
      <c r="D121" s="12">
        <v>19.399999999999999</v>
      </c>
      <c r="E121" s="12">
        <v>198</v>
      </c>
      <c r="F121" s="12">
        <v>4450</v>
      </c>
      <c r="G121" s="12" t="s">
        <v>9</v>
      </c>
      <c r="H121" s="12" t="str">
        <f t="shared" si="7"/>
        <v>3812.5</v>
      </c>
      <c r="I121" s="12" t="str">
        <f t="shared" si="8"/>
        <v>Yes</v>
      </c>
      <c r="N121" s="12" t="str">
        <f t="shared" si="9"/>
        <v>Small</v>
      </c>
      <c r="O121" s="12" t="str">
        <f t="shared" si="10"/>
        <v>East</v>
      </c>
      <c r="P121" s="12">
        <f t="shared" si="11"/>
        <v>2</v>
      </c>
      <c r="Q121" s="12">
        <f t="shared" si="12"/>
        <v>1563.27</v>
      </c>
    </row>
    <row r="122" spans="1:17" x14ac:dyDescent="0.3">
      <c r="A122" s="12" t="s">
        <v>7</v>
      </c>
      <c r="B122" s="12" t="s">
        <v>12</v>
      </c>
      <c r="C122" s="12">
        <v>39.6</v>
      </c>
      <c r="D122" s="12">
        <v>18.100000000000001</v>
      </c>
      <c r="E122" s="12">
        <v>186</v>
      </c>
      <c r="F122" s="12">
        <v>4450</v>
      </c>
      <c r="G122" s="12" t="s">
        <v>9</v>
      </c>
      <c r="H122" s="12" t="str">
        <f t="shared" si="7"/>
        <v>3812.5</v>
      </c>
      <c r="I122" s="12" t="str">
        <f t="shared" si="8"/>
        <v>Yes</v>
      </c>
      <c r="N122" s="12" t="str">
        <f t="shared" si="9"/>
        <v>Small</v>
      </c>
      <c r="O122" s="12" t="str">
        <f t="shared" si="10"/>
        <v>Central</v>
      </c>
      <c r="P122" s="12">
        <f t="shared" si="11"/>
        <v>2</v>
      </c>
      <c r="Q122" s="12">
        <f t="shared" si="12"/>
        <v>1558.53</v>
      </c>
    </row>
    <row r="123" spans="1:17" x14ac:dyDescent="0.3">
      <c r="A123" s="12" t="s">
        <v>13</v>
      </c>
      <c r="B123" s="12" t="s">
        <v>12</v>
      </c>
      <c r="C123" s="12">
        <v>50.8</v>
      </c>
      <c r="D123" s="12">
        <v>18.5</v>
      </c>
      <c r="E123" s="12">
        <v>201</v>
      </c>
      <c r="F123" s="12">
        <v>4450</v>
      </c>
      <c r="G123" s="12" t="s">
        <v>9</v>
      </c>
      <c r="H123" s="12" t="str">
        <f t="shared" si="7"/>
        <v>3750</v>
      </c>
      <c r="I123" s="12" t="str">
        <f t="shared" si="8"/>
        <v>Yes</v>
      </c>
      <c r="N123" s="12" t="str">
        <f t="shared" si="9"/>
        <v>Medium</v>
      </c>
      <c r="O123" s="12" t="str">
        <f t="shared" si="10"/>
        <v>Central</v>
      </c>
      <c r="P123" s="12">
        <f t="shared" si="11"/>
        <v>2</v>
      </c>
      <c r="Q123" s="12">
        <f t="shared" si="12"/>
        <v>1567.27</v>
      </c>
    </row>
    <row r="124" spans="1:17" x14ac:dyDescent="0.3">
      <c r="A124" s="12" t="s">
        <v>14</v>
      </c>
      <c r="B124" s="12" t="s">
        <v>11</v>
      </c>
      <c r="C124" s="12">
        <v>48.7</v>
      </c>
      <c r="D124" s="12">
        <v>14.1</v>
      </c>
      <c r="E124" s="12">
        <v>210</v>
      </c>
      <c r="F124" s="12">
        <v>4450</v>
      </c>
      <c r="G124" s="12" t="s">
        <v>10</v>
      </c>
      <c r="H124" s="12" t="str">
        <f t="shared" si="7"/>
        <v>5125</v>
      </c>
      <c r="I124" s="12" t="str">
        <f t="shared" si="8"/>
        <v>No</v>
      </c>
      <c r="N124" s="12" t="str">
        <f t="shared" si="9"/>
        <v>Large</v>
      </c>
      <c r="O124" s="12" t="str">
        <f t="shared" si="10"/>
        <v>West</v>
      </c>
      <c r="P124" s="12">
        <f t="shared" si="11"/>
        <v>2</v>
      </c>
      <c r="Q124" s="12">
        <f t="shared" si="12"/>
        <v>1569.57</v>
      </c>
    </row>
    <row r="125" spans="1:17" x14ac:dyDescent="0.3">
      <c r="A125" s="12" t="s">
        <v>14</v>
      </c>
      <c r="B125" s="12" t="s">
        <v>11</v>
      </c>
      <c r="C125" s="12">
        <v>43.2</v>
      </c>
      <c r="D125" s="12">
        <v>14.5</v>
      </c>
      <c r="E125" s="12">
        <v>208</v>
      </c>
      <c r="F125" s="12">
        <v>4450</v>
      </c>
      <c r="G125" s="12" t="s">
        <v>10</v>
      </c>
      <c r="H125" s="12" t="str">
        <f t="shared" si="7"/>
        <v>5125</v>
      </c>
      <c r="I125" s="12" t="str">
        <f t="shared" si="8"/>
        <v>No</v>
      </c>
      <c r="N125" s="12" t="str">
        <f t="shared" si="9"/>
        <v>Large</v>
      </c>
      <c r="O125" s="12" t="str">
        <f t="shared" si="10"/>
        <v>West</v>
      </c>
      <c r="P125" s="12">
        <f t="shared" si="11"/>
        <v>2</v>
      </c>
      <c r="Q125" s="12">
        <f t="shared" si="12"/>
        <v>1567.07</v>
      </c>
    </row>
    <row r="126" spans="1:17" x14ac:dyDescent="0.3">
      <c r="A126" s="12" t="s">
        <v>7</v>
      </c>
      <c r="B126" s="12" t="s">
        <v>8</v>
      </c>
      <c r="C126" s="12">
        <v>34.6</v>
      </c>
      <c r="D126" s="12">
        <v>21.1</v>
      </c>
      <c r="E126" s="12">
        <v>198</v>
      </c>
      <c r="F126" s="12">
        <v>4400</v>
      </c>
      <c r="G126" s="12" t="s">
        <v>9</v>
      </c>
      <c r="H126" s="12" t="str">
        <f t="shared" si="7"/>
        <v>3812.5</v>
      </c>
      <c r="I126" s="12" t="str">
        <f t="shared" si="8"/>
        <v>Yes</v>
      </c>
      <c r="N126" s="12" t="str">
        <f t="shared" si="9"/>
        <v>Small</v>
      </c>
      <c r="O126" s="12" t="str">
        <f t="shared" si="10"/>
        <v>East</v>
      </c>
      <c r="P126" s="12">
        <f t="shared" si="11"/>
        <v>2</v>
      </c>
      <c r="Q126" s="12">
        <f t="shared" si="12"/>
        <v>1544.2</v>
      </c>
    </row>
    <row r="127" spans="1:17" x14ac:dyDescent="0.3">
      <c r="A127" s="12" t="s">
        <v>7</v>
      </c>
      <c r="B127" s="12" t="s">
        <v>12</v>
      </c>
      <c r="C127" s="12">
        <v>44.1</v>
      </c>
      <c r="D127" s="12">
        <v>19.7</v>
      </c>
      <c r="E127" s="12">
        <v>196</v>
      </c>
      <c r="F127" s="12">
        <v>4400</v>
      </c>
      <c r="G127" s="12" t="s">
        <v>9</v>
      </c>
      <c r="H127" s="12" t="str">
        <f t="shared" si="7"/>
        <v>3812.5</v>
      </c>
      <c r="I127" s="12" t="str">
        <f t="shared" si="8"/>
        <v>Yes</v>
      </c>
      <c r="N127" s="12" t="str">
        <f t="shared" si="9"/>
        <v>Small</v>
      </c>
      <c r="O127" s="12" t="str">
        <f t="shared" si="10"/>
        <v>Central</v>
      </c>
      <c r="P127" s="12">
        <f t="shared" si="11"/>
        <v>2</v>
      </c>
      <c r="Q127" s="12">
        <f t="shared" si="12"/>
        <v>1546.7</v>
      </c>
    </row>
    <row r="128" spans="1:17" x14ac:dyDescent="0.3">
      <c r="A128" s="12" t="s">
        <v>7</v>
      </c>
      <c r="B128" s="12" t="s">
        <v>11</v>
      </c>
      <c r="C128" s="12">
        <v>41.3</v>
      </c>
      <c r="D128" s="12">
        <v>21.1</v>
      </c>
      <c r="E128" s="12">
        <v>195</v>
      </c>
      <c r="F128" s="12">
        <v>4400</v>
      </c>
      <c r="G128" s="12" t="s">
        <v>9</v>
      </c>
      <c r="H128" s="12" t="str">
        <f t="shared" si="7"/>
        <v>3812.5</v>
      </c>
      <c r="I128" s="12" t="str">
        <f t="shared" si="8"/>
        <v>Yes</v>
      </c>
      <c r="N128" s="12" t="str">
        <f t="shared" si="9"/>
        <v>Small</v>
      </c>
      <c r="O128" s="12" t="str">
        <f t="shared" si="10"/>
        <v>West</v>
      </c>
      <c r="P128" s="12">
        <f t="shared" si="11"/>
        <v>2</v>
      </c>
      <c r="Q128" s="12">
        <f t="shared" si="12"/>
        <v>1545.43</v>
      </c>
    </row>
    <row r="129" spans="1:17" x14ac:dyDescent="0.3">
      <c r="A129" s="12" t="s">
        <v>13</v>
      </c>
      <c r="B129" s="12" t="s">
        <v>12</v>
      </c>
      <c r="C129" s="12">
        <v>49.2</v>
      </c>
      <c r="D129" s="12">
        <v>18.2</v>
      </c>
      <c r="E129" s="12">
        <v>195</v>
      </c>
      <c r="F129" s="12">
        <v>4400</v>
      </c>
      <c r="G129" s="12" t="s">
        <v>9</v>
      </c>
      <c r="H129" s="12" t="str">
        <f t="shared" si="7"/>
        <v>3750</v>
      </c>
      <c r="I129" s="12" t="str">
        <f t="shared" si="8"/>
        <v>Yes</v>
      </c>
      <c r="N129" s="12" t="str">
        <f t="shared" si="9"/>
        <v>Medium</v>
      </c>
      <c r="O129" s="12" t="str">
        <f t="shared" si="10"/>
        <v>Central</v>
      </c>
      <c r="P129" s="12">
        <f t="shared" si="11"/>
        <v>2</v>
      </c>
      <c r="Q129" s="12">
        <f t="shared" si="12"/>
        <v>1548.07</v>
      </c>
    </row>
    <row r="130" spans="1:17" x14ac:dyDescent="0.3">
      <c r="A130" s="12" t="s">
        <v>14</v>
      </c>
      <c r="B130" s="12" t="s">
        <v>11</v>
      </c>
      <c r="C130" s="12">
        <v>43.3</v>
      </c>
      <c r="D130" s="12">
        <v>13.4</v>
      </c>
      <c r="E130" s="12">
        <v>209</v>
      </c>
      <c r="F130" s="12">
        <v>4400</v>
      </c>
      <c r="G130" s="12" t="s">
        <v>10</v>
      </c>
      <c r="H130" s="12" t="str">
        <f t="shared" ref="H130:H193" si="13">IF(AND(A130="Gentoo"),"5125",IF(AND(A130="Chinstrap"),"3750",IF(AND(A130="Adelie"),"3812.5")))</f>
        <v>5125</v>
      </c>
      <c r="I130" s="12" t="str">
        <f t="shared" ref="I130:I193" si="14">IF(AND(A130="Gentoo",F130&gt;5125),"Yes",
   IF(AND(A130="Chinstrap",F130&gt;3750),"Yes",
   IF(AND(A130="Adelie",F130&gt;3812.5),"Yes","No")))</f>
        <v>No</v>
      </c>
      <c r="N130" s="12" t="str">
        <f t="shared" ref="N130:N193" si="15">VLOOKUP(A130,$J$2:$K$4,2,FALSE)</f>
        <v>Large</v>
      </c>
      <c r="O130" s="12" t="str">
        <f t="shared" ref="O130:O193" si="16">VLOOKUP(B130,$L$2:$M$4,2,FALSE)</f>
        <v>West</v>
      </c>
      <c r="P130" s="12">
        <f t="shared" ref="P130:P193" si="17">IF(F130&gt;5000,3,IF(F130&gt;4000,2,1))</f>
        <v>2</v>
      </c>
      <c r="Q130" s="12">
        <f t="shared" ref="Q130:Q193" si="18">ROUND((F130+E130+C130)/3,2)</f>
        <v>1550.77</v>
      </c>
    </row>
    <row r="131" spans="1:17" x14ac:dyDescent="0.3">
      <c r="A131" s="12" t="s">
        <v>14</v>
      </c>
      <c r="B131" s="12" t="s">
        <v>11</v>
      </c>
      <c r="C131" s="12">
        <v>46.5</v>
      </c>
      <c r="D131" s="12">
        <v>14.5</v>
      </c>
      <c r="E131" s="12">
        <v>213</v>
      </c>
      <c r="F131" s="12">
        <v>4400</v>
      </c>
      <c r="G131" s="12" t="s">
        <v>10</v>
      </c>
      <c r="H131" s="12" t="str">
        <f t="shared" si="13"/>
        <v>5125</v>
      </c>
      <c r="I131" s="12" t="str">
        <f t="shared" si="14"/>
        <v>No</v>
      </c>
      <c r="N131" s="12" t="str">
        <f t="shared" si="15"/>
        <v>Large</v>
      </c>
      <c r="O131" s="12" t="str">
        <f t="shared" si="16"/>
        <v>West</v>
      </c>
      <c r="P131" s="12">
        <f t="shared" si="17"/>
        <v>2</v>
      </c>
      <c r="Q131" s="12">
        <f t="shared" si="18"/>
        <v>1553.17</v>
      </c>
    </row>
    <row r="132" spans="1:17" x14ac:dyDescent="0.3">
      <c r="A132" s="12" t="s">
        <v>14</v>
      </c>
      <c r="B132" s="12" t="s">
        <v>11</v>
      </c>
      <c r="C132" s="12">
        <v>45.1</v>
      </c>
      <c r="D132" s="12">
        <v>14.4</v>
      </c>
      <c r="E132" s="12">
        <v>210</v>
      </c>
      <c r="F132" s="12">
        <v>4400</v>
      </c>
      <c r="G132" s="12" t="s">
        <v>10</v>
      </c>
      <c r="H132" s="12" t="str">
        <f t="shared" si="13"/>
        <v>5125</v>
      </c>
      <c r="I132" s="12" t="str">
        <f t="shared" si="14"/>
        <v>No</v>
      </c>
      <c r="N132" s="12" t="str">
        <f t="shared" si="15"/>
        <v>Large</v>
      </c>
      <c r="O132" s="12" t="str">
        <f t="shared" si="16"/>
        <v>West</v>
      </c>
      <c r="P132" s="12">
        <f t="shared" si="17"/>
        <v>2</v>
      </c>
      <c r="Q132" s="12">
        <f t="shared" si="18"/>
        <v>1551.7</v>
      </c>
    </row>
    <row r="133" spans="1:17" x14ac:dyDescent="0.3">
      <c r="A133" s="12" t="s">
        <v>14</v>
      </c>
      <c r="B133" s="12" t="s">
        <v>11</v>
      </c>
      <c r="C133" s="12">
        <v>45.7</v>
      </c>
      <c r="D133" s="12">
        <v>13.9</v>
      </c>
      <c r="E133" s="12">
        <v>214</v>
      </c>
      <c r="F133" s="12">
        <v>4400</v>
      </c>
      <c r="G133" s="12" t="s">
        <v>10</v>
      </c>
      <c r="H133" s="12" t="str">
        <f t="shared" si="13"/>
        <v>5125</v>
      </c>
      <c r="I133" s="12" t="str">
        <f t="shared" si="14"/>
        <v>No</v>
      </c>
      <c r="N133" s="12" t="str">
        <f t="shared" si="15"/>
        <v>Large</v>
      </c>
      <c r="O133" s="12" t="str">
        <f t="shared" si="16"/>
        <v>West</v>
      </c>
      <c r="P133" s="12">
        <f t="shared" si="17"/>
        <v>2</v>
      </c>
      <c r="Q133" s="12">
        <f t="shared" si="18"/>
        <v>1553.23</v>
      </c>
    </row>
    <row r="134" spans="1:17" x14ac:dyDescent="0.3">
      <c r="A134" s="12" t="s">
        <v>14</v>
      </c>
      <c r="B134" s="12" t="s">
        <v>11</v>
      </c>
      <c r="C134" s="12">
        <v>46.2</v>
      </c>
      <c r="D134" s="12">
        <v>14.1</v>
      </c>
      <c r="E134" s="12">
        <v>217</v>
      </c>
      <c r="F134" s="12">
        <v>4375</v>
      </c>
      <c r="G134" s="12" t="s">
        <v>10</v>
      </c>
      <c r="H134" s="12" t="str">
        <f t="shared" si="13"/>
        <v>5125</v>
      </c>
      <c r="I134" s="12" t="str">
        <f t="shared" si="14"/>
        <v>No</v>
      </c>
      <c r="N134" s="12" t="str">
        <f t="shared" si="15"/>
        <v>Large</v>
      </c>
      <c r="O134" s="12" t="str">
        <f t="shared" si="16"/>
        <v>West</v>
      </c>
      <c r="P134" s="12">
        <f t="shared" si="17"/>
        <v>2</v>
      </c>
      <c r="Q134" s="12">
        <f t="shared" si="18"/>
        <v>1546.07</v>
      </c>
    </row>
    <row r="135" spans="1:17" x14ac:dyDescent="0.3">
      <c r="A135" s="12" t="s">
        <v>7</v>
      </c>
      <c r="B135" s="12" t="s">
        <v>12</v>
      </c>
      <c r="C135" s="12">
        <v>40.299999999999997</v>
      </c>
      <c r="D135" s="12">
        <v>18.5</v>
      </c>
      <c r="E135" s="12">
        <v>196</v>
      </c>
      <c r="F135" s="12">
        <v>4350</v>
      </c>
      <c r="G135" s="12" t="s">
        <v>9</v>
      </c>
      <c r="H135" s="12" t="str">
        <f t="shared" si="13"/>
        <v>3812.5</v>
      </c>
      <c r="I135" s="12" t="str">
        <f t="shared" si="14"/>
        <v>Yes</v>
      </c>
      <c r="N135" s="12" t="str">
        <f t="shared" si="15"/>
        <v>Small</v>
      </c>
      <c r="O135" s="12" t="str">
        <f t="shared" si="16"/>
        <v>Central</v>
      </c>
      <c r="P135" s="12">
        <f t="shared" si="17"/>
        <v>2</v>
      </c>
      <c r="Q135" s="12">
        <f t="shared" si="18"/>
        <v>1528.77</v>
      </c>
    </row>
    <row r="136" spans="1:17" x14ac:dyDescent="0.3">
      <c r="A136" s="12" t="s">
        <v>14</v>
      </c>
      <c r="B136" s="12" t="s">
        <v>11</v>
      </c>
      <c r="C136" s="12">
        <v>44</v>
      </c>
      <c r="D136" s="12">
        <v>13.6</v>
      </c>
      <c r="E136" s="12">
        <v>208</v>
      </c>
      <c r="F136" s="12">
        <v>4350</v>
      </c>
      <c r="G136" s="12" t="s">
        <v>10</v>
      </c>
      <c r="H136" s="12" t="str">
        <f t="shared" si="13"/>
        <v>5125</v>
      </c>
      <c r="I136" s="12" t="str">
        <f t="shared" si="14"/>
        <v>No</v>
      </c>
      <c r="N136" s="12" t="str">
        <f t="shared" si="15"/>
        <v>Large</v>
      </c>
      <c r="O136" s="12" t="str">
        <f t="shared" si="16"/>
        <v>West</v>
      </c>
      <c r="P136" s="12">
        <f t="shared" si="17"/>
        <v>2</v>
      </c>
      <c r="Q136" s="12">
        <f t="shared" si="18"/>
        <v>1534</v>
      </c>
    </row>
    <row r="137" spans="1:17" x14ac:dyDescent="0.3">
      <c r="A137" s="12" t="s">
        <v>7</v>
      </c>
      <c r="B137" s="12" t="s">
        <v>11</v>
      </c>
      <c r="C137" s="12">
        <v>40.1</v>
      </c>
      <c r="D137" s="12">
        <v>18.899999999999999</v>
      </c>
      <c r="E137" s="12">
        <v>188</v>
      </c>
      <c r="F137" s="12">
        <v>4300</v>
      </c>
      <c r="G137" s="12" t="s">
        <v>9</v>
      </c>
      <c r="H137" s="12" t="str">
        <f t="shared" si="13"/>
        <v>3812.5</v>
      </c>
      <c r="I137" s="12" t="str">
        <f t="shared" si="14"/>
        <v>Yes</v>
      </c>
      <c r="N137" s="12" t="str">
        <f t="shared" si="15"/>
        <v>Small</v>
      </c>
      <c r="O137" s="12" t="str">
        <f t="shared" si="16"/>
        <v>West</v>
      </c>
      <c r="P137" s="12">
        <f t="shared" si="17"/>
        <v>2</v>
      </c>
      <c r="Q137" s="12">
        <f t="shared" si="18"/>
        <v>1509.37</v>
      </c>
    </row>
    <row r="138" spans="1:17" x14ac:dyDescent="0.3">
      <c r="A138" s="12" t="s">
        <v>7</v>
      </c>
      <c r="B138" s="12" t="s">
        <v>12</v>
      </c>
      <c r="C138" s="12">
        <v>41.1</v>
      </c>
      <c r="D138" s="12">
        <v>18.100000000000001</v>
      </c>
      <c r="E138" s="12">
        <v>205</v>
      </c>
      <c r="F138" s="12">
        <v>4300</v>
      </c>
      <c r="G138" s="12" t="s">
        <v>9</v>
      </c>
      <c r="H138" s="12" t="str">
        <f t="shared" si="13"/>
        <v>3812.5</v>
      </c>
      <c r="I138" s="12" t="str">
        <f t="shared" si="14"/>
        <v>Yes</v>
      </c>
      <c r="N138" s="12" t="str">
        <f t="shared" si="15"/>
        <v>Small</v>
      </c>
      <c r="O138" s="12" t="str">
        <f t="shared" si="16"/>
        <v>Central</v>
      </c>
      <c r="P138" s="12">
        <f t="shared" si="17"/>
        <v>2</v>
      </c>
      <c r="Q138" s="12">
        <f t="shared" si="18"/>
        <v>1515.37</v>
      </c>
    </row>
    <row r="139" spans="1:17" x14ac:dyDescent="0.3">
      <c r="A139" s="12" t="s">
        <v>7</v>
      </c>
      <c r="B139" s="12" t="s">
        <v>12</v>
      </c>
      <c r="C139" s="12">
        <v>40.799999999999997</v>
      </c>
      <c r="D139" s="12">
        <v>18.899999999999999</v>
      </c>
      <c r="E139" s="12">
        <v>208</v>
      </c>
      <c r="F139" s="12">
        <v>4300</v>
      </c>
      <c r="G139" s="12" t="s">
        <v>9</v>
      </c>
      <c r="H139" s="12" t="str">
        <f t="shared" si="13"/>
        <v>3812.5</v>
      </c>
      <c r="I139" s="12" t="str">
        <f t="shared" si="14"/>
        <v>Yes</v>
      </c>
      <c r="N139" s="12" t="str">
        <f t="shared" si="15"/>
        <v>Small</v>
      </c>
      <c r="O139" s="12" t="str">
        <f t="shared" si="16"/>
        <v>Central</v>
      </c>
      <c r="P139" s="12">
        <f t="shared" si="17"/>
        <v>2</v>
      </c>
      <c r="Q139" s="12">
        <f t="shared" si="18"/>
        <v>1516.27</v>
      </c>
    </row>
    <row r="140" spans="1:17" x14ac:dyDescent="0.3">
      <c r="A140" s="12" t="s">
        <v>7</v>
      </c>
      <c r="B140" s="12" t="s">
        <v>8</v>
      </c>
      <c r="C140" s="12">
        <v>41.5</v>
      </c>
      <c r="D140" s="12">
        <v>18.3</v>
      </c>
      <c r="E140" s="12">
        <v>195</v>
      </c>
      <c r="F140" s="12">
        <v>4300</v>
      </c>
      <c r="G140" s="12" t="s">
        <v>9</v>
      </c>
      <c r="H140" s="12" t="str">
        <f t="shared" si="13"/>
        <v>3812.5</v>
      </c>
      <c r="I140" s="12" t="str">
        <f t="shared" si="14"/>
        <v>Yes</v>
      </c>
      <c r="N140" s="12" t="str">
        <f t="shared" si="15"/>
        <v>Small</v>
      </c>
      <c r="O140" s="12" t="str">
        <f t="shared" si="16"/>
        <v>East</v>
      </c>
      <c r="P140" s="12">
        <f t="shared" si="17"/>
        <v>2</v>
      </c>
      <c r="Q140" s="12">
        <f t="shared" si="18"/>
        <v>1512.17</v>
      </c>
    </row>
    <row r="141" spans="1:17" x14ac:dyDescent="0.3">
      <c r="A141" s="12" t="s">
        <v>13</v>
      </c>
      <c r="B141" s="12" t="s">
        <v>12</v>
      </c>
      <c r="C141" s="12">
        <v>54.2</v>
      </c>
      <c r="D141" s="12">
        <v>20.8</v>
      </c>
      <c r="E141" s="12">
        <v>201</v>
      </c>
      <c r="F141" s="12">
        <v>4300</v>
      </c>
      <c r="G141" s="12" t="s">
        <v>9</v>
      </c>
      <c r="H141" s="12" t="str">
        <f t="shared" si="13"/>
        <v>3750</v>
      </c>
      <c r="I141" s="12" t="str">
        <f t="shared" si="14"/>
        <v>Yes</v>
      </c>
      <c r="N141" s="12" t="str">
        <f t="shared" si="15"/>
        <v>Medium</v>
      </c>
      <c r="O141" s="12" t="str">
        <f t="shared" si="16"/>
        <v>Central</v>
      </c>
      <c r="P141" s="12">
        <f t="shared" si="17"/>
        <v>2</v>
      </c>
      <c r="Q141" s="12">
        <f t="shared" si="18"/>
        <v>1518.4</v>
      </c>
    </row>
    <row r="142" spans="1:17" x14ac:dyDescent="0.3">
      <c r="A142" s="12" t="s">
        <v>13</v>
      </c>
      <c r="B142" s="12" t="s">
        <v>12</v>
      </c>
      <c r="C142" s="12">
        <v>49</v>
      </c>
      <c r="D142" s="12">
        <v>19.600000000000001</v>
      </c>
      <c r="E142" s="12">
        <v>212</v>
      </c>
      <c r="F142" s="12">
        <v>4300</v>
      </c>
      <c r="G142" s="12" t="s">
        <v>9</v>
      </c>
      <c r="H142" s="12" t="str">
        <f t="shared" si="13"/>
        <v>3750</v>
      </c>
      <c r="I142" s="12" t="str">
        <f t="shared" si="14"/>
        <v>Yes</v>
      </c>
      <c r="N142" s="12" t="str">
        <f t="shared" si="15"/>
        <v>Medium</v>
      </c>
      <c r="O142" s="12" t="str">
        <f t="shared" si="16"/>
        <v>Central</v>
      </c>
      <c r="P142" s="12">
        <f t="shared" si="17"/>
        <v>2</v>
      </c>
      <c r="Q142" s="12">
        <f t="shared" si="18"/>
        <v>1520.33</v>
      </c>
    </row>
    <row r="143" spans="1:17" x14ac:dyDescent="0.3">
      <c r="A143" s="12" t="s">
        <v>14</v>
      </c>
      <c r="B143" s="12" t="s">
        <v>11</v>
      </c>
      <c r="C143" s="12">
        <v>45.3</v>
      </c>
      <c r="D143" s="12">
        <v>13.7</v>
      </c>
      <c r="E143" s="12">
        <v>210</v>
      </c>
      <c r="F143" s="12">
        <v>4300</v>
      </c>
      <c r="G143" s="12" t="s">
        <v>10</v>
      </c>
      <c r="H143" s="12" t="str">
        <f t="shared" si="13"/>
        <v>5125</v>
      </c>
      <c r="I143" s="12" t="str">
        <f t="shared" si="14"/>
        <v>No</v>
      </c>
      <c r="N143" s="12" t="str">
        <f t="shared" si="15"/>
        <v>Large</v>
      </c>
      <c r="O143" s="12" t="str">
        <f t="shared" si="16"/>
        <v>West</v>
      </c>
      <c r="P143" s="12">
        <f t="shared" si="17"/>
        <v>2</v>
      </c>
      <c r="Q143" s="12">
        <f t="shared" si="18"/>
        <v>1518.43</v>
      </c>
    </row>
    <row r="144" spans="1:17" x14ac:dyDescent="0.3">
      <c r="A144" s="12" t="s">
        <v>14</v>
      </c>
      <c r="B144" s="12" t="s">
        <v>11</v>
      </c>
      <c r="C144" s="12">
        <v>43.8</v>
      </c>
      <c r="D144" s="12">
        <v>13.9</v>
      </c>
      <c r="E144" s="12">
        <v>208</v>
      </c>
      <c r="F144" s="12">
        <v>4300</v>
      </c>
      <c r="G144" s="12" t="s">
        <v>10</v>
      </c>
      <c r="H144" s="12" t="str">
        <f t="shared" si="13"/>
        <v>5125</v>
      </c>
      <c r="I144" s="12" t="str">
        <f t="shared" si="14"/>
        <v>No</v>
      </c>
      <c r="N144" s="12" t="str">
        <f t="shared" si="15"/>
        <v>Large</v>
      </c>
      <c r="O144" s="12" t="str">
        <f t="shared" si="16"/>
        <v>West</v>
      </c>
      <c r="P144" s="12">
        <f t="shared" si="17"/>
        <v>2</v>
      </c>
      <c r="Q144" s="12">
        <f t="shared" si="18"/>
        <v>1517.27</v>
      </c>
    </row>
    <row r="145" spans="1:17" x14ac:dyDescent="0.3">
      <c r="A145" s="12" t="s">
        <v>7</v>
      </c>
      <c r="B145" s="12" t="s">
        <v>11</v>
      </c>
      <c r="C145" s="12">
        <v>42.2</v>
      </c>
      <c r="D145" s="12">
        <v>19.5</v>
      </c>
      <c r="E145" s="12">
        <v>197</v>
      </c>
      <c r="F145" s="12">
        <v>4275</v>
      </c>
      <c r="G145" s="12" t="s">
        <v>9</v>
      </c>
      <c r="H145" s="12" t="str">
        <f t="shared" si="13"/>
        <v>3812.5</v>
      </c>
      <c r="I145" s="12" t="str">
        <f t="shared" si="14"/>
        <v>Yes</v>
      </c>
      <c r="N145" s="12" t="str">
        <f t="shared" si="15"/>
        <v>Small</v>
      </c>
      <c r="O145" s="12" t="str">
        <f t="shared" si="16"/>
        <v>West</v>
      </c>
      <c r="P145" s="12">
        <f t="shared" si="17"/>
        <v>2</v>
      </c>
      <c r="Q145" s="12">
        <f t="shared" si="18"/>
        <v>1504.73</v>
      </c>
    </row>
    <row r="146" spans="1:17" x14ac:dyDescent="0.3">
      <c r="A146" s="12" t="s">
        <v>7</v>
      </c>
      <c r="B146" s="12" t="s">
        <v>8</v>
      </c>
      <c r="C146" s="12">
        <v>42</v>
      </c>
      <c r="D146" s="12">
        <v>20.2</v>
      </c>
      <c r="E146" s="12">
        <v>190</v>
      </c>
      <c r="F146" s="12">
        <v>4250</v>
      </c>
      <c r="H146" s="12" t="str">
        <f t="shared" si="13"/>
        <v>3812.5</v>
      </c>
      <c r="I146" s="12" t="str">
        <f t="shared" si="14"/>
        <v>Yes</v>
      </c>
      <c r="N146" s="12" t="str">
        <f t="shared" si="15"/>
        <v>Small</v>
      </c>
      <c r="O146" s="12" t="str">
        <f t="shared" si="16"/>
        <v>East</v>
      </c>
      <c r="P146" s="12">
        <f t="shared" si="17"/>
        <v>2</v>
      </c>
      <c r="Q146" s="12">
        <f t="shared" si="18"/>
        <v>1494</v>
      </c>
    </row>
    <row r="147" spans="1:17" x14ac:dyDescent="0.3">
      <c r="A147" s="12" t="s">
        <v>7</v>
      </c>
      <c r="B147" s="12" t="s">
        <v>8</v>
      </c>
      <c r="C147" s="12">
        <v>42.8</v>
      </c>
      <c r="D147" s="12">
        <v>18.5</v>
      </c>
      <c r="E147" s="12">
        <v>195</v>
      </c>
      <c r="F147" s="12">
        <v>4250</v>
      </c>
      <c r="G147" s="12" t="s">
        <v>9</v>
      </c>
      <c r="H147" s="12" t="str">
        <f t="shared" si="13"/>
        <v>3812.5</v>
      </c>
      <c r="I147" s="12" t="str">
        <f t="shared" si="14"/>
        <v>Yes</v>
      </c>
      <c r="N147" s="12" t="str">
        <f t="shared" si="15"/>
        <v>Small</v>
      </c>
      <c r="O147" s="12" t="str">
        <f t="shared" si="16"/>
        <v>East</v>
      </c>
      <c r="P147" s="12">
        <f t="shared" si="17"/>
        <v>2</v>
      </c>
      <c r="Q147" s="12">
        <f t="shared" si="18"/>
        <v>1495.93</v>
      </c>
    </row>
    <row r="148" spans="1:17" x14ac:dyDescent="0.3">
      <c r="A148" s="12" t="s">
        <v>7</v>
      </c>
      <c r="B148" s="12" t="s">
        <v>11</v>
      </c>
      <c r="C148" s="12">
        <v>37.799999999999997</v>
      </c>
      <c r="D148" s="12">
        <v>20</v>
      </c>
      <c r="E148" s="12">
        <v>190</v>
      </c>
      <c r="F148" s="12">
        <v>4250</v>
      </c>
      <c r="G148" s="12" t="s">
        <v>9</v>
      </c>
      <c r="H148" s="12" t="str">
        <f t="shared" si="13"/>
        <v>3812.5</v>
      </c>
      <c r="I148" s="12" t="str">
        <f t="shared" si="14"/>
        <v>Yes</v>
      </c>
      <c r="N148" s="12" t="str">
        <f t="shared" si="15"/>
        <v>Small</v>
      </c>
      <c r="O148" s="12" t="str">
        <f t="shared" si="16"/>
        <v>West</v>
      </c>
      <c r="P148" s="12">
        <f t="shared" si="17"/>
        <v>2</v>
      </c>
      <c r="Q148" s="12">
        <f t="shared" si="18"/>
        <v>1492.6</v>
      </c>
    </row>
    <row r="149" spans="1:17" x14ac:dyDescent="0.3">
      <c r="A149" s="12" t="s">
        <v>7</v>
      </c>
      <c r="B149" s="12" t="s">
        <v>12</v>
      </c>
      <c r="C149" s="12">
        <v>39.700000000000003</v>
      </c>
      <c r="D149" s="12">
        <v>17.899999999999999</v>
      </c>
      <c r="E149" s="12">
        <v>193</v>
      </c>
      <c r="F149" s="12">
        <v>4250</v>
      </c>
      <c r="G149" s="12" t="s">
        <v>9</v>
      </c>
      <c r="H149" s="12" t="str">
        <f t="shared" si="13"/>
        <v>3812.5</v>
      </c>
      <c r="I149" s="12" t="str">
        <f t="shared" si="14"/>
        <v>Yes</v>
      </c>
      <c r="N149" s="12" t="str">
        <f t="shared" si="15"/>
        <v>Small</v>
      </c>
      <c r="O149" s="12" t="str">
        <f t="shared" si="16"/>
        <v>Central</v>
      </c>
      <c r="P149" s="12">
        <f t="shared" si="17"/>
        <v>2</v>
      </c>
      <c r="Q149" s="12">
        <f t="shared" si="18"/>
        <v>1494.23</v>
      </c>
    </row>
    <row r="150" spans="1:17" x14ac:dyDescent="0.3">
      <c r="A150" s="12" t="s">
        <v>7</v>
      </c>
      <c r="B150" s="12" t="s">
        <v>12</v>
      </c>
      <c r="C150" s="12">
        <v>39.200000000000003</v>
      </c>
      <c r="D150" s="12">
        <v>18.600000000000001</v>
      </c>
      <c r="E150" s="12">
        <v>190</v>
      </c>
      <c r="F150" s="12">
        <v>4250</v>
      </c>
      <c r="G150" s="12" t="s">
        <v>9</v>
      </c>
      <c r="H150" s="12" t="str">
        <f t="shared" si="13"/>
        <v>3812.5</v>
      </c>
      <c r="I150" s="12" t="str">
        <f t="shared" si="14"/>
        <v>Yes</v>
      </c>
      <c r="N150" s="12" t="str">
        <f t="shared" si="15"/>
        <v>Small</v>
      </c>
      <c r="O150" s="12" t="str">
        <f t="shared" si="16"/>
        <v>Central</v>
      </c>
      <c r="P150" s="12">
        <f t="shared" si="17"/>
        <v>2</v>
      </c>
      <c r="Q150" s="12">
        <f t="shared" si="18"/>
        <v>1493.07</v>
      </c>
    </row>
    <row r="151" spans="1:17" x14ac:dyDescent="0.3">
      <c r="A151" s="12" t="s">
        <v>7</v>
      </c>
      <c r="B151" s="12" t="s">
        <v>8</v>
      </c>
      <c r="C151" s="12">
        <v>46</v>
      </c>
      <c r="D151" s="12">
        <v>21.5</v>
      </c>
      <c r="E151" s="12">
        <v>194</v>
      </c>
      <c r="F151" s="12">
        <v>4200</v>
      </c>
      <c r="G151" s="12" t="s">
        <v>9</v>
      </c>
      <c r="H151" s="12" t="str">
        <f t="shared" si="13"/>
        <v>3812.5</v>
      </c>
      <c r="I151" s="12" t="str">
        <f t="shared" si="14"/>
        <v>Yes</v>
      </c>
      <c r="N151" s="12" t="str">
        <f t="shared" si="15"/>
        <v>Small</v>
      </c>
      <c r="O151" s="12" t="str">
        <f t="shared" si="16"/>
        <v>East</v>
      </c>
      <c r="P151" s="12">
        <f t="shared" si="17"/>
        <v>2</v>
      </c>
      <c r="Q151" s="12">
        <f t="shared" si="18"/>
        <v>1480</v>
      </c>
    </row>
    <row r="152" spans="1:17" x14ac:dyDescent="0.3">
      <c r="A152" s="12" t="s">
        <v>7</v>
      </c>
      <c r="B152" s="12" t="s">
        <v>8</v>
      </c>
      <c r="C152" s="12">
        <v>35.1</v>
      </c>
      <c r="D152" s="12">
        <v>19.399999999999999</v>
      </c>
      <c r="E152" s="12">
        <v>193</v>
      </c>
      <c r="F152" s="12">
        <v>4200</v>
      </c>
      <c r="G152" s="12" t="s">
        <v>9</v>
      </c>
      <c r="H152" s="12" t="str">
        <f t="shared" si="13"/>
        <v>3812.5</v>
      </c>
      <c r="I152" s="12" t="str">
        <f t="shared" si="14"/>
        <v>Yes</v>
      </c>
      <c r="N152" s="12" t="str">
        <f t="shared" si="15"/>
        <v>Small</v>
      </c>
      <c r="O152" s="12" t="str">
        <f t="shared" si="16"/>
        <v>East</v>
      </c>
      <c r="P152" s="12">
        <f t="shared" si="17"/>
        <v>2</v>
      </c>
      <c r="Q152" s="12">
        <f t="shared" si="18"/>
        <v>1476.03</v>
      </c>
    </row>
    <row r="153" spans="1:17" x14ac:dyDescent="0.3">
      <c r="A153" s="12" t="s">
        <v>14</v>
      </c>
      <c r="B153" s="12" t="s">
        <v>11</v>
      </c>
      <c r="C153" s="12">
        <v>45.8</v>
      </c>
      <c r="D153" s="12">
        <v>14.6</v>
      </c>
      <c r="E153" s="12">
        <v>210</v>
      </c>
      <c r="F153" s="12">
        <v>4200</v>
      </c>
      <c r="G153" s="12" t="s">
        <v>10</v>
      </c>
      <c r="H153" s="12" t="str">
        <f t="shared" si="13"/>
        <v>5125</v>
      </c>
      <c r="I153" s="12" t="str">
        <f t="shared" si="14"/>
        <v>No</v>
      </c>
      <c r="N153" s="12" t="str">
        <f t="shared" si="15"/>
        <v>Large</v>
      </c>
      <c r="O153" s="12" t="str">
        <f t="shared" si="16"/>
        <v>West</v>
      </c>
      <c r="P153" s="12">
        <f t="shared" si="17"/>
        <v>2</v>
      </c>
      <c r="Q153" s="12">
        <f t="shared" si="18"/>
        <v>1485.27</v>
      </c>
    </row>
    <row r="154" spans="1:17" x14ac:dyDescent="0.3">
      <c r="A154" s="12" t="s">
        <v>14</v>
      </c>
      <c r="B154" s="12" t="s">
        <v>11</v>
      </c>
      <c r="C154" s="12">
        <v>45.5</v>
      </c>
      <c r="D154" s="12">
        <v>13.9</v>
      </c>
      <c r="E154" s="12">
        <v>210</v>
      </c>
      <c r="F154" s="12">
        <v>4200</v>
      </c>
      <c r="G154" s="12" t="s">
        <v>10</v>
      </c>
      <c r="H154" s="12" t="str">
        <f t="shared" si="13"/>
        <v>5125</v>
      </c>
      <c r="I154" s="12" t="str">
        <f t="shared" si="14"/>
        <v>No</v>
      </c>
      <c r="N154" s="12" t="str">
        <f t="shared" si="15"/>
        <v>Large</v>
      </c>
      <c r="O154" s="12" t="str">
        <f t="shared" si="16"/>
        <v>West</v>
      </c>
      <c r="P154" s="12">
        <f t="shared" si="17"/>
        <v>2</v>
      </c>
      <c r="Q154" s="12">
        <f t="shared" si="18"/>
        <v>1485.17</v>
      </c>
    </row>
    <row r="155" spans="1:17" x14ac:dyDescent="0.3">
      <c r="A155" s="12" t="s">
        <v>14</v>
      </c>
      <c r="B155" s="12" t="s">
        <v>11</v>
      </c>
      <c r="C155" s="12">
        <v>45.3</v>
      </c>
      <c r="D155" s="12">
        <v>13.8</v>
      </c>
      <c r="E155" s="12">
        <v>208</v>
      </c>
      <c r="F155" s="12">
        <v>4200</v>
      </c>
      <c r="G155" s="12" t="s">
        <v>10</v>
      </c>
      <c r="H155" s="12" t="str">
        <f t="shared" si="13"/>
        <v>5125</v>
      </c>
      <c r="I155" s="12" t="str">
        <f t="shared" si="14"/>
        <v>No</v>
      </c>
      <c r="N155" s="12" t="str">
        <f t="shared" si="15"/>
        <v>Large</v>
      </c>
      <c r="O155" s="12" t="str">
        <f t="shared" si="16"/>
        <v>West</v>
      </c>
      <c r="P155" s="12">
        <f t="shared" si="17"/>
        <v>2</v>
      </c>
      <c r="Q155" s="12">
        <f t="shared" si="18"/>
        <v>1484.43</v>
      </c>
    </row>
    <row r="156" spans="1:17" x14ac:dyDescent="0.3">
      <c r="A156" s="12" t="s">
        <v>7</v>
      </c>
      <c r="B156" s="12" t="s">
        <v>12</v>
      </c>
      <c r="C156" s="12">
        <v>39.200000000000003</v>
      </c>
      <c r="D156" s="12">
        <v>21.1</v>
      </c>
      <c r="E156" s="12">
        <v>196</v>
      </c>
      <c r="F156" s="12">
        <v>4150</v>
      </c>
      <c r="G156" s="12" t="s">
        <v>9</v>
      </c>
      <c r="H156" s="12" t="str">
        <f t="shared" si="13"/>
        <v>3812.5</v>
      </c>
      <c r="I156" s="12" t="str">
        <f t="shared" si="14"/>
        <v>Yes</v>
      </c>
      <c r="N156" s="12" t="str">
        <f t="shared" si="15"/>
        <v>Small</v>
      </c>
      <c r="O156" s="12" t="str">
        <f t="shared" si="16"/>
        <v>Central</v>
      </c>
      <c r="P156" s="12">
        <f t="shared" si="17"/>
        <v>2</v>
      </c>
      <c r="Q156" s="12">
        <f t="shared" si="18"/>
        <v>1461.73</v>
      </c>
    </row>
    <row r="157" spans="1:17" x14ac:dyDescent="0.3">
      <c r="A157" s="12" t="s">
        <v>7</v>
      </c>
      <c r="B157" s="12" t="s">
        <v>12</v>
      </c>
      <c r="C157" s="12">
        <v>42.3</v>
      </c>
      <c r="D157" s="12">
        <v>21.2</v>
      </c>
      <c r="E157" s="12">
        <v>191</v>
      </c>
      <c r="F157" s="12">
        <v>4150</v>
      </c>
      <c r="G157" s="12" t="s">
        <v>9</v>
      </c>
      <c r="H157" s="12" t="str">
        <f t="shared" si="13"/>
        <v>3812.5</v>
      </c>
      <c r="I157" s="12" t="str">
        <f t="shared" si="14"/>
        <v>Yes</v>
      </c>
      <c r="N157" s="12" t="str">
        <f t="shared" si="15"/>
        <v>Small</v>
      </c>
      <c r="O157" s="12" t="str">
        <f t="shared" si="16"/>
        <v>Central</v>
      </c>
      <c r="P157" s="12">
        <f t="shared" si="17"/>
        <v>2</v>
      </c>
      <c r="Q157" s="12">
        <f t="shared" si="18"/>
        <v>1461.1</v>
      </c>
    </row>
    <row r="158" spans="1:17" x14ac:dyDescent="0.3">
      <c r="A158" s="12" t="s">
        <v>7</v>
      </c>
      <c r="B158" s="12" t="s">
        <v>8</v>
      </c>
      <c r="C158" s="12">
        <v>45.8</v>
      </c>
      <c r="D158" s="12">
        <v>18.899999999999999</v>
      </c>
      <c r="E158" s="12">
        <v>197</v>
      </c>
      <c r="F158" s="12">
        <v>4150</v>
      </c>
      <c r="G158" s="12" t="s">
        <v>9</v>
      </c>
      <c r="H158" s="12" t="str">
        <f t="shared" si="13"/>
        <v>3812.5</v>
      </c>
      <c r="I158" s="12" t="str">
        <f t="shared" si="14"/>
        <v>Yes</v>
      </c>
      <c r="N158" s="12" t="str">
        <f t="shared" si="15"/>
        <v>Small</v>
      </c>
      <c r="O158" s="12" t="str">
        <f t="shared" si="16"/>
        <v>East</v>
      </c>
      <c r="P158" s="12">
        <f t="shared" si="17"/>
        <v>2</v>
      </c>
      <c r="Q158" s="12">
        <f t="shared" si="18"/>
        <v>1464.27</v>
      </c>
    </row>
    <row r="159" spans="1:17" x14ac:dyDescent="0.3">
      <c r="A159" s="12" t="s">
        <v>13</v>
      </c>
      <c r="B159" s="12" t="s">
        <v>12</v>
      </c>
      <c r="C159" s="12">
        <v>46</v>
      </c>
      <c r="D159" s="12">
        <v>18.899999999999999</v>
      </c>
      <c r="E159" s="12">
        <v>195</v>
      </c>
      <c r="F159" s="12">
        <v>4150</v>
      </c>
      <c r="G159" s="12" t="s">
        <v>10</v>
      </c>
      <c r="H159" s="12" t="str">
        <f t="shared" si="13"/>
        <v>3750</v>
      </c>
      <c r="I159" s="12" t="str">
        <f t="shared" si="14"/>
        <v>Yes</v>
      </c>
      <c r="N159" s="12" t="str">
        <f t="shared" si="15"/>
        <v>Medium</v>
      </c>
      <c r="O159" s="12" t="str">
        <f t="shared" si="16"/>
        <v>Central</v>
      </c>
      <c r="P159" s="12">
        <f t="shared" si="17"/>
        <v>2</v>
      </c>
      <c r="Q159" s="12">
        <f t="shared" si="18"/>
        <v>1463.67</v>
      </c>
    </row>
    <row r="160" spans="1:17" x14ac:dyDescent="0.3">
      <c r="A160" s="12" t="s">
        <v>13</v>
      </c>
      <c r="B160" s="12" t="s">
        <v>12</v>
      </c>
      <c r="C160" s="12">
        <v>52</v>
      </c>
      <c r="D160" s="12">
        <v>19</v>
      </c>
      <c r="E160" s="12">
        <v>197</v>
      </c>
      <c r="F160" s="12">
        <v>4150</v>
      </c>
      <c r="G160" s="12" t="s">
        <v>9</v>
      </c>
      <c r="H160" s="12" t="str">
        <f t="shared" si="13"/>
        <v>3750</v>
      </c>
      <c r="I160" s="12" t="str">
        <f t="shared" si="14"/>
        <v>Yes</v>
      </c>
      <c r="N160" s="12" t="str">
        <f t="shared" si="15"/>
        <v>Medium</v>
      </c>
      <c r="O160" s="12" t="str">
        <f t="shared" si="16"/>
        <v>Central</v>
      </c>
      <c r="P160" s="12">
        <f t="shared" si="17"/>
        <v>2</v>
      </c>
      <c r="Q160" s="12">
        <f t="shared" si="18"/>
        <v>1466.33</v>
      </c>
    </row>
    <row r="161" spans="1:17" x14ac:dyDescent="0.3">
      <c r="A161" s="12" t="s">
        <v>14</v>
      </c>
      <c r="B161" s="12" t="s">
        <v>11</v>
      </c>
      <c r="C161" s="12">
        <v>42</v>
      </c>
      <c r="D161" s="12">
        <v>13.5</v>
      </c>
      <c r="E161" s="12">
        <v>210</v>
      </c>
      <c r="F161" s="12">
        <v>4150</v>
      </c>
      <c r="G161" s="12" t="s">
        <v>10</v>
      </c>
      <c r="H161" s="12" t="str">
        <f t="shared" si="13"/>
        <v>5125</v>
      </c>
      <c r="I161" s="12" t="str">
        <f t="shared" si="14"/>
        <v>No</v>
      </c>
      <c r="N161" s="12" t="str">
        <f t="shared" si="15"/>
        <v>Large</v>
      </c>
      <c r="O161" s="12" t="str">
        <f t="shared" si="16"/>
        <v>West</v>
      </c>
      <c r="P161" s="12">
        <f t="shared" si="17"/>
        <v>2</v>
      </c>
      <c r="Q161" s="12">
        <f t="shared" si="18"/>
        <v>1467.33</v>
      </c>
    </row>
    <row r="162" spans="1:17" x14ac:dyDescent="0.3">
      <c r="A162" s="12" t="s">
        <v>7</v>
      </c>
      <c r="B162" s="12" t="s">
        <v>11</v>
      </c>
      <c r="C162" s="12">
        <v>41.1</v>
      </c>
      <c r="D162" s="12">
        <v>19.100000000000001</v>
      </c>
      <c r="E162" s="12">
        <v>188</v>
      </c>
      <c r="F162" s="12">
        <v>4100</v>
      </c>
      <c r="G162" s="12" t="s">
        <v>9</v>
      </c>
      <c r="H162" s="12" t="str">
        <f t="shared" si="13"/>
        <v>3812.5</v>
      </c>
      <c r="I162" s="12" t="str">
        <f t="shared" si="14"/>
        <v>Yes</v>
      </c>
      <c r="N162" s="12" t="str">
        <f t="shared" si="15"/>
        <v>Small</v>
      </c>
      <c r="O162" s="12" t="str">
        <f t="shared" si="16"/>
        <v>West</v>
      </c>
      <c r="P162" s="12">
        <f t="shared" si="17"/>
        <v>2</v>
      </c>
      <c r="Q162" s="12">
        <f t="shared" si="18"/>
        <v>1443.03</v>
      </c>
    </row>
    <row r="163" spans="1:17" x14ac:dyDescent="0.3">
      <c r="A163" s="12" t="s">
        <v>7</v>
      </c>
      <c r="B163" s="12" t="s">
        <v>12</v>
      </c>
      <c r="C163" s="12">
        <v>43.2</v>
      </c>
      <c r="D163" s="12">
        <v>18.5</v>
      </c>
      <c r="E163" s="12">
        <v>192</v>
      </c>
      <c r="F163" s="12">
        <v>4100</v>
      </c>
      <c r="G163" s="12" t="s">
        <v>9</v>
      </c>
      <c r="H163" s="12" t="str">
        <f t="shared" si="13"/>
        <v>3812.5</v>
      </c>
      <c r="I163" s="12" t="str">
        <f t="shared" si="14"/>
        <v>Yes</v>
      </c>
      <c r="N163" s="12" t="str">
        <f t="shared" si="15"/>
        <v>Small</v>
      </c>
      <c r="O163" s="12" t="str">
        <f t="shared" si="16"/>
        <v>Central</v>
      </c>
      <c r="P163" s="12">
        <f t="shared" si="17"/>
        <v>2</v>
      </c>
      <c r="Q163" s="12">
        <f t="shared" si="18"/>
        <v>1445.07</v>
      </c>
    </row>
    <row r="164" spans="1:17" x14ac:dyDescent="0.3">
      <c r="A164" s="12" t="s">
        <v>13</v>
      </c>
      <c r="B164" s="12" t="s">
        <v>12</v>
      </c>
      <c r="C164" s="12">
        <v>51</v>
      </c>
      <c r="D164" s="12">
        <v>18.8</v>
      </c>
      <c r="E164" s="12">
        <v>203</v>
      </c>
      <c r="F164" s="12">
        <v>4100</v>
      </c>
      <c r="G164" s="12" t="s">
        <v>9</v>
      </c>
      <c r="H164" s="12" t="str">
        <f t="shared" si="13"/>
        <v>3750</v>
      </c>
      <c r="I164" s="12" t="str">
        <f t="shared" si="14"/>
        <v>Yes</v>
      </c>
      <c r="N164" s="12" t="str">
        <f t="shared" si="15"/>
        <v>Medium</v>
      </c>
      <c r="O164" s="12" t="str">
        <f t="shared" si="16"/>
        <v>Central</v>
      </c>
      <c r="P164" s="12">
        <f t="shared" si="17"/>
        <v>2</v>
      </c>
      <c r="Q164" s="12">
        <f t="shared" si="18"/>
        <v>1451.33</v>
      </c>
    </row>
    <row r="165" spans="1:17" x14ac:dyDescent="0.3">
      <c r="A165" s="12" t="s">
        <v>13</v>
      </c>
      <c r="B165" s="12" t="s">
        <v>12</v>
      </c>
      <c r="C165" s="12">
        <v>50.8</v>
      </c>
      <c r="D165" s="12">
        <v>19</v>
      </c>
      <c r="E165" s="12">
        <v>210</v>
      </c>
      <c r="F165" s="12">
        <v>4100</v>
      </c>
      <c r="G165" s="12" t="s">
        <v>9</v>
      </c>
      <c r="H165" s="12" t="str">
        <f t="shared" si="13"/>
        <v>3750</v>
      </c>
      <c r="I165" s="12" t="str">
        <f t="shared" si="14"/>
        <v>Yes</v>
      </c>
      <c r="N165" s="12" t="str">
        <f t="shared" si="15"/>
        <v>Medium</v>
      </c>
      <c r="O165" s="12" t="str">
        <f t="shared" si="16"/>
        <v>Central</v>
      </c>
      <c r="P165" s="12">
        <f t="shared" si="17"/>
        <v>2</v>
      </c>
      <c r="Q165" s="12">
        <f t="shared" si="18"/>
        <v>1453.6</v>
      </c>
    </row>
    <row r="166" spans="1:17" x14ac:dyDescent="0.3">
      <c r="A166" s="12" t="s">
        <v>14</v>
      </c>
      <c r="B166" s="12" t="s">
        <v>11</v>
      </c>
      <c r="C166" s="12">
        <v>44.5</v>
      </c>
      <c r="D166" s="12">
        <v>14.3</v>
      </c>
      <c r="E166" s="12">
        <v>216</v>
      </c>
      <c r="F166" s="12">
        <v>4100</v>
      </c>
      <c r="H166" s="12" t="str">
        <f t="shared" si="13"/>
        <v>5125</v>
      </c>
      <c r="I166" s="12" t="str">
        <f t="shared" si="14"/>
        <v>No</v>
      </c>
      <c r="N166" s="12" t="str">
        <f t="shared" si="15"/>
        <v>Large</v>
      </c>
      <c r="O166" s="12" t="str">
        <f t="shared" si="16"/>
        <v>West</v>
      </c>
      <c r="P166" s="12">
        <f t="shared" si="17"/>
        <v>2</v>
      </c>
      <c r="Q166" s="12">
        <f t="shared" si="18"/>
        <v>1453.5</v>
      </c>
    </row>
    <row r="167" spans="1:17" x14ac:dyDescent="0.3">
      <c r="A167" s="12" t="s">
        <v>7</v>
      </c>
      <c r="B167" s="12" t="s">
        <v>11</v>
      </c>
      <c r="C167" s="12">
        <v>42.7</v>
      </c>
      <c r="D167" s="12">
        <v>18.3</v>
      </c>
      <c r="E167" s="12">
        <v>196</v>
      </c>
      <c r="F167" s="12">
        <v>4075</v>
      </c>
      <c r="G167" s="12" t="s">
        <v>9</v>
      </c>
      <c r="H167" s="12" t="str">
        <f t="shared" si="13"/>
        <v>3812.5</v>
      </c>
      <c r="I167" s="12" t="str">
        <f t="shared" si="14"/>
        <v>Yes</v>
      </c>
      <c r="N167" s="12" t="str">
        <f t="shared" si="15"/>
        <v>Small</v>
      </c>
      <c r="O167" s="12" t="str">
        <f t="shared" si="16"/>
        <v>West</v>
      </c>
      <c r="P167" s="12">
        <f t="shared" si="17"/>
        <v>2</v>
      </c>
      <c r="Q167" s="12">
        <f t="shared" si="18"/>
        <v>1437.9</v>
      </c>
    </row>
    <row r="168" spans="1:17" x14ac:dyDescent="0.3">
      <c r="A168" s="12" t="s">
        <v>7</v>
      </c>
      <c r="B168" s="12" t="s">
        <v>11</v>
      </c>
      <c r="C168" s="12">
        <v>42</v>
      </c>
      <c r="D168" s="12">
        <v>19.5</v>
      </c>
      <c r="E168" s="12">
        <v>200</v>
      </c>
      <c r="F168" s="12">
        <v>4050</v>
      </c>
      <c r="G168" s="12" t="s">
        <v>9</v>
      </c>
      <c r="H168" s="12" t="str">
        <f t="shared" si="13"/>
        <v>3812.5</v>
      </c>
      <c r="I168" s="12" t="str">
        <f t="shared" si="14"/>
        <v>Yes</v>
      </c>
      <c r="N168" s="12" t="str">
        <f t="shared" si="15"/>
        <v>Small</v>
      </c>
      <c r="O168" s="12" t="str">
        <f t="shared" si="16"/>
        <v>West</v>
      </c>
      <c r="P168" s="12">
        <f t="shared" si="17"/>
        <v>2</v>
      </c>
      <c r="Q168" s="12">
        <f t="shared" si="18"/>
        <v>1430.67</v>
      </c>
    </row>
    <row r="169" spans="1:17" x14ac:dyDescent="0.3">
      <c r="A169" s="12" t="s">
        <v>7</v>
      </c>
      <c r="B169" s="12" t="s">
        <v>11</v>
      </c>
      <c r="C169" s="12">
        <v>41.1</v>
      </c>
      <c r="D169" s="12">
        <v>18.2</v>
      </c>
      <c r="E169" s="12">
        <v>192</v>
      </c>
      <c r="F169" s="12">
        <v>4050</v>
      </c>
      <c r="G169" s="12" t="s">
        <v>9</v>
      </c>
      <c r="H169" s="12" t="str">
        <f t="shared" si="13"/>
        <v>3812.5</v>
      </c>
      <c r="I169" s="12" t="str">
        <f t="shared" si="14"/>
        <v>Yes</v>
      </c>
      <c r="N169" s="12" t="str">
        <f t="shared" si="15"/>
        <v>Small</v>
      </c>
      <c r="O169" s="12" t="str">
        <f t="shared" si="16"/>
        <v>West</v>
      </c>
      <c r="P169" s="12">
        <f t="shared" si="17"/>
        <v>2</v>
      </c>
      <c r="Q169" s="12">
        <f t="shared" si="18"/>
        <v>1427.7</v>
      </c>
    </row>
    <row r="170" spans="1:17" x14ac:dyDescent="0.3">
      <c r="A170" s="12" t="s">
        <v>13</v>
      </c>
      <c r="B170" s="12" t="s">
        <v>12</v>
      </c>
      <c r="C170" s="12">
        <v>52</v>
      </c>
      <c r="D170" s="12">
        <v>18.100000000000001</v>
      </c>
      <c r="E170" s="12">
        <v>201</v>
      </c>
      <c r="F170" s="12">
        <v>4050</v>
      </c>
      <c r="G170" s="12" t="s">
        <v>9</v>
      </c>
      <c r="H170" s="12" t="str">
        <f t="shared" si="13"/>
        <v>3750</v>
      </c>
      <c r="I170" s="12" t="str">
        <f t="shared" si="14"/>
        <v>Yes</v>
      </c>
      <c r="N170" s="12" t="str">
        <f t="shared" si="15"/>
        <v>Medium</v>
      </c>
      <c r="O170" s="12" t="str">
        <f t="shared" si="16"/>
        <v>Central</v>
      </c>
      <c r="P170" s="12">
        <f t="shared" si="17"/>
        <v>2</v>
      </c>
      <c r="Q170" s="12">
        <f t="shared" si="18"/>
        <v>1434.33</v>
      </c>
    </row>
    <row r="171" spans="1:17" x14ac:dyDescent="0.3">
      <c r="A171" s="12" t="s">
        <v>13</v>
      </c>
      <c r="B171" s="12" t="s">
        <v>12</v>
      </c>
      <c r="C171" s="12">
        <v>50.5</v>
      </c>
      <c r="D171" s="12">
        <v>19.600000000000001</v>
      </c>
      <c r="E171" s="12">
        <v>201</v>
      </c>
      <c r="F171" s="12">
        <v>4050</v>
      </c>
      <c r="G171" s="12" t="s">
        <v>9</v>
      </c>
      <c r="H171" s="12" t="str">
        <f t="shared" si="13"/>
        <v>3750</v>
      </c>
      <c r="I171" s="12" t="str">
        <f t="shared" si="14"/>
        <v>Yes</v>
      </c>
      <c r="N171" s="12" t="str">
        <f t="shared" si="15"/>
        <v>Medium</v>
      </c>
      <c r="O171" s="12" t="str">
        <f t="shared" si="16"/>
        <v>Central</v>
      </c>
      <c r="P171" s="12">
        <f t="shared" si="17"/>
        <v>2</v>
      </c>
      <c r="Q171" s="12">
        <f t="shared" si="18"/>
        <v>1433.83</v>
      </c>
    </row>
    <row r="172" spans="1:17" x14ac:dyDescent="0.3">
      <c r="A172" s="12" t="s">
        <v>13</v>
      </c>
      <c r="B172" s="12" t="s">
        <v>12</v>
      </c>
      <c r="C172" s="12">
        <v>50.7</v>
      </c>
      <c r="D172" s="12">
        <v>19.7</v>
      </c>
      <c r="E172" s="12">
        <v>203</v>
      </c>
      <c r="F172" s="12">
        <v>4050</v>
      </c>
      <c r="G172" s="12" t="s">
        <v>9</v>
      </c>
      <c r="H172" s="12" t="str">
        <f t="shared" si="13"/>
        <v>3750</v>
      </c>
      <c r="I172" s="12" t="str">
        <f t="shared" si="14"/>
        <v>Yes</v>
      </c>
      <c r="N172" s="12" t="str">
        <f t="shared" si="15"/>
        <v>Medium</v>
      </c>
      <c r="O172" s="12" t="str">
        <f t="shared" si="16"/>
        <v>Central</v>
      </c>
      <c r="P172" s="12">
        <f t="shared" si="17"/>
        <v>2</v>
      </c>
      <c r="Q172" s="12">
        <f t="shared" si="18"/>
        <v>1434.57</v>
      </c>
    </row>
    <row r="173" spans="1:17" x14ac:dyDescent="0.3">
      <c r="A173" s="12" t="s">
        <v>13</v>
      </c>
      <c r="B173" s="12" t="s">
        <v>12</v>
      </c>
      <c r="C173" s="12">
        <v>49.3</v>
      </c>
      <c r="D173" s="12">
        <v>19.899999999999999</v>
      </c>
      <c r="E173" s="12">
        <v>203</v>
      </c>
      <c r="F173" s="12">
        <v>4050</v>
      </c>
      <c r="G173" s="12" t="s">
        <v>9</v>
      </c>
      <c r="H173" s="12" t="str">
        <f t="shared" si="13"/>
        <v>3750</v>
      </c>
      <c r="I173" s="12" t="str">
        <f t="shared" si="14"/>
        <v>Yes</v>
      </c>
      <c r="N173" s="12" t="str">
        <f t="shared" si="15"/>
        <v>Medium</v>
      </c>
      <c r="O173" s="12" t="str">
        <f t="shared" si="16"/>
        <v>Central</v>
      </c>
      <c r="P173" s="12">
        <f t="shared" si="17"/>
        <v>2</v>
      </c>
      <c r="Q173" s="12">
        <f t="shared" si="18"/>
        <v>1434.1</v>
      </c>
    </row>
    <row r="174" spans="1:17" x14ac:dyDescent="0.3">
      <c r="A174" s="12" t="s">
        <v>7</v>
      </c>
      <c r="B174" s="12" t="s">
        <v>8</v>
      </c>
      <c r="C174" s="12">
        <v>42.1</v>
      </c>
      <c r="D174" s="12">
        <v>19.100000000000001</v>
      </c>
      <c r="E174" s="12">
        <v>195</v>
      </c>
      <c r="F174" s="12">
        <v>4000</v>
      </c>
      <c r="G174" s="12" t="s">
        <v>9</v>
      </c>
      <c r="H174" s="12" t="str">
        <f t="shared" si="13"/>
        <v>3812.5</v>
      </c>
      <c r="I174" s="12" t="str">
        <f t="shared" si="14"/>
        <v>Yes</v>
      </c>
      <c r="N174" s="12" t="str">
        <f t="shared" si="15"/>
        <v>Small</v>
      </c>
      <c r="O174" s="12" t="str">
        <f t="shared" si="16"/>
        <v>East</v>
      </c>
      <c r="P174" s="12">
        <f t="shared" si="17"/>
        <v>1</v>
      </c>
      <c r="Q174" s="12">
        <f t="shared" si="18"/>
        <v>1412.37</v>
      </c>
    </row>
    <row r="175" spans="1:17" x14ac:dyDescent="0.3">
      <c r="A175" s="12" t="s">
        <v>7</v>
      </c>
      <c r="B175" s="12" t="s">
        <v>8</v>
      </c>
      <c r="C175" s="12">
        <v>40.6</v>
      </c>
      <c r="D175" s="12">
        <v>19</v>
      </c>
      <c r="E175" s="12">
        <v>199</v>
      </c>
      <c r="F175" s="12">
        <v>4000</v>
      </c>
      <c r="G175" s="12" t="s">
        <v>9</v>
      </c>
      <c r="H175" s="12" t="str">
        <f t="shared" si="13"/>
        <v>3812.5</v>
      </c>
      <c r="I175" s="12" t="str">
        <f t="shared" si="14"/>
        <v>Yes</v>
      </c>
      <c r="N175" s="12" t="str">
        <f t="shared" si="15"/>
        <v>Small</v>
      </c>
      <c r="O175" s="12" t="str">
        <f t="shared" si="16"/>
        <v>East</v>
      </c>
      <c r="P175" s="12">
        <f t="shared" si="17"/>
        <v>1</v>
      </c>
      <c r="Q175" s="12">
        <f t="shared" si="18"/>
        <v>1413.2</v>
      </c>
    </row>
    <row r="176" spans="1:17" x14ac:dyDescent="0.3">
      <c r="A176" s="12" t="s">
        <v>7</v>
      </c>
      <c r="B176" s="12" t="s">
        <v>8</v>
      </c>
      <c r="C176" s="12">
        <v>44.1</v>
      </c>
      <c r="D176" s="12">
        <v>18</v>
      </c>
      <c r="E176" s="12">
        <v>210</v>
      </c>
      <c r="F176" s="12">
        <v>4000</v>
      </c>
      <c r="G176" s="12" t="s">
        <v>9</v>
      </c>
      <c r="H176" s="12" t="str">
        <f t="shared" si="13"/>
        <v>3812.5</v>
      </c>
      <c r="I176" s="12" t="str">
        <f t="shared" si="14"/>
        <v>Yes</v>
      </c>
      <c r="N176" s="12" t="str">
        <f t="shared" si="15"/>
        <v>Small</v>
      </c>
      <c r="O176" s="12" t="str">
        <f t="shared" si="16"/>
        <v>East</v>
      </c>
      <c r="P176" s="12">
        <f t="shared" si="17"/>
        <v>1</v>
      </c>
      <c r="Q176" s="12">
        <f t="shared" si="18"/>
        <v>1418.03</v>
      </c>
    </row>
    <row r="177" spans="1:17" x14ac:dyDescent="0.3">
      <c r="A177" s="12" t="s">
        <v>7</v>
      </c>
      <c r="B177" s="12" t="s">
        <v>12</v>
      </c>
      <c r="C177" s="12">
        <v>41.5</v>
      </c>
      <c r="D177" s="12">
        <v>18.5</v>
      </c>
      <c r="E177" s="12">
        <v>201</v>
      </c>
      <c r="F177" s="12">
        <v>4000</v>
      </c>
      <c r="G177" s="12" t="s">
        <v>9</v>
      </c>
      <c r="H177" s="12" t="str">
        <f t="shared" si="13"/>
        <v>3812.5</v>
      </c>
      <c r="I177" s="12" t="str">
        <f t="shared" si="14"/>
        <v>Yes</v>
      </c>
      <c r="N177" s="12" t="str">
        <f t="shared" si="15"/>
        <v>Small</v>
      </c>
      <c r="O177" s="12" t="str">
        <f t="shared" si="16"/>
        <v>Central</v>
      </c>
      <c r="P177" s="12">
        <f t="shared" si="17"/>
        <v>1</v>
      </c>
      <c r="Q177" s="12">
        <f t="shared" si="18"/>
        <v>1414.17</v>
      </c>
    </row>
    <row r="178" spans="1:17" x14ac:dyDescent="0.3">
      <c r="A178" s="12" t="s">
        <v>13</v>
      </c>
      <c r="B178" s="12" t="s">
        <v>12</v>
      </c>
      <c r="C178" s="12">
        <v>55.8</v>
      </c>
      <c r="D178" s="12">
        <v>19.8</v>
      </c>
      <c r="E178" s="12">
        <v>207</v>
      </c>
      <c r="F178" s="12">
        <v>4000</v>
      </c>
      <c r="G178" s="12" t="s">
        <v>9</v>
      </c>
      <c r="H178" s="12" t="str">
        <f t="shared" si="13"/>
        <v>3750</v>
      </c>
      <c r="I178" s="12" t="str">
        <f t="shared" si="14"/>
        <v>Yes</v>
      </c>
      <c r="N178" s="12" t="str">
        <f t="shared" si="15"/>
        <v>Medium</v>
      </c>
      <c r="O178" s="12" t="str">
        <f t="shared" si="16"/>
        <v>Central</v>
      </c>
      <c r="P178" s="12">
        <f t="shared" si="17"/>
        <v>1</v>
      </c>
      <c r="Q178" s="12">
        <f t="shared" si="18"/>
        <v>1420.93</v>
      </c>
    </row>
    <row r="179" spans="1:17" x14ac:dyDescent="0.3">
      <c r="A179" s="12" t="s">
        <v>7</v>
      </c>
      <c r="B179" s="12" t="s">
        <v>12</v>
      </c>
      <c r="C179" s="12">
        <v>40.200000000000003</v>
      </c>
      <c r="D179" s="12">
        <v>20.100000000000001</v>
      </c>
      <c r="E179" s="12">
        <v>200</v>
      </c>
      <c r="F179" s="12">
        <v>3975</v>
      </c>
      <c r="G179" s="12" t="s">
        <v>9</v>
      </c>
      <c r="H179" s="12" t="str">
        <f t="shared" si="13"/>
        <v>3812.5</v>
      </c>
      <c r="I179" s="12" t="str">
        <f t="shared" si="14"/>
        <v>Yes</v>
      </c>
      <c r="N179" s="12" t="str">
        <f t="shared" si="15"/>
        <v>Small</v>
      </c>
      <c r="O179" s="12" t="str">
        <f t="shared" si="16"/>
        <v>Central</v>
      </c>
      <c r="P179" s="12">
        <f t="shared" si="17"/>
        <v>1</v>
      </c>
      <c r="Q179" s="12">
        <f t="shared" si="18"/>
        <v>1405.07</v>
      </c>
    </row>
    <row r="180" spans="1:17" x14ac:dyDescent="0.3">
      <c r="A180" s="12" t="s">
        <v>7</v>
      </c>
      <c r="B180" s="12" t="s">
        <v>11</v>
      </c>
      <c r="C180" s="12">
        <v>38.200000000000003</v>
      </c>
      <c r="D180" s="12">
        <v>18.100000000000001</v>
      </c>
      <c r="E180" s="12">
        <v>185</v>
      </c>
      <c r="F180" s="12">
        <v>3950</v>
      </c>
      <c r="G180" s="12" t="s">
        <v>9</v>
      </c>
      <c r="H180" s="12" t="str">
        <f t="shared" si="13"/>
        <v>3812.5</v>
      </c>
      <c r="I180" s="12" t="str">
        <f t="shared" si="14"/>
        <v>Yes</v>
      </c>
      <c r="N180" s="12" t="str">
        <f t="shared" si="15"/>
        <v>Small</v>
      </c>
      <c r="O180" s="12" t="str">
        <f t="shared" si="16"/>
        <v>West</v>
      </c>
      <c r="P180" s="12">
        <f t="shared" si="17"/>
        <v>1</v>
      </c>
      <c r="Q180" s="12">
        <f t="shared" si="18"/>
        <v>1391.07</v>
      </c>
    </row>
    <row r="181" spans="1:17" x14ac:dyDescent="0.3">
      <c r="A181" s="12" t="s">
        <v>7</v>
      </c>
      <c r="B181" s="12" t="s">
        <v>11</v>
      </c>
      <c r="C181" s="12">
        <v>40.5</v>
      </c>
      <c r="D181" s="12">
        <v>18.899999999999999</v>
      </c>
      <c r="E181" s="12">
        <v>180</v>
      </c>
      <c r="F181" s="12">
        <v>3950</v>
      </c>
      <c r="G181" s="12" t="s">
        <v>9</v>
      </c>
      <c r="H181" s="12" t="str">
        <f t="shared" si="13"/>
        <v>3812.5</v>
      </c>
      <c r="I181" s="12" t="str">
        <f t="shared" si="14"/>
        <v>Yes</v>
      </c>
      <c r="N181" s="12" t="str">
        <f t="shared" si="15"/>
        <v>Small</v>
      </c>
      <c r="O181" s="12" t="str">
        <f t="shared" si="16"/>
        <v>West</v>
      </c>
      <c r="P181" s="12">
        <f t="shared" si="17"/>
        <v>1</v>
      </c>
      <c r="Q181" s="12">
        <f t="shared" si="18"/>
        <v>1390.17</v>
      </c>
    </row>
    <row r="182" spans="1:17" x14ac:dyDescent="0.3">
      <c r="A182" s="12" t="s">
        <v>7</v>
      </c>
      <c r="B182" s="12" t="s">
        <v>12</v>
      </c>
      <c r="C182" s="12">
        <v>38.799999999999997</v>
      </c>
      <c r="D182" s="12">
        <v>20</v>
      </c>
      <c r="E182" s="12">
        <v>190</v>
      </c>
      <c r="F182" s="12">
        <v>3950</v>
      </c>
      <c r="G182" s="12" t="s">
        <v>9</v>
      </c>
      <c r="H182" s="12" t="str">
        <f t="shared" si="13"/>
        <v>3812.5</v>
      </c>
      <c r="I182" s="12" t="str">
        <f t="shared" si="14"/>
        <v>Yes</v>
      </c>
      <c r="N182" s="12" t="str">
        <f t="shared" si="15"/>
        <v>Small</v>
      </c>
      <c r="O182" s="12" t="str">
        <f t="shared" si="16"/>
        <v>Central</v>
      </c>
      <c r="P182" s="12">
        <f t="shared" si="17"/>
        <v>1</v>
      </c>
      <c r="Q182" s="12">
        <f t="shared" si="18"/>
        <v>1392.93</v>
      </c>
    </row>
    <row r="183" spans="1:17" x14ac:dyDescent="0.3">
      <c r="A183" s="12" t="s">
        <v>7</v>
      </c>
      <c r="B183" s="12" t="s">
        <v>11</v>
      </c>
      <c r="C183" s="12">
        <v>41.6</v>
      </c>
      <c r="D183" s="12">
        <v>18</v>
      </c>
      <c r="E183" s="12">
        <v>192</v>
      </c>
      <c r="F183" s="12">
        <v>3950</v>
      </c>
      <c r="G183" s="12" t="s">
        <v>9</v>
      </c>
      <c r="H183" s="12" t="str">
        <f t="shared" si="13"/>
        <v>3812.5</v>
      </c>
      <c r="I183" s="12" t="str">
        <f t="shared" si="14"/>
        <v>Yes</v>
      </c>
      <c r="N183" s="12" t="str">
        <f t="shared" si="15"/>
        <v>Small</v>
      </c>
      <c r="O183" s="12" t="str">
        <f t="shared" si="16"/>
        <v>West</v>
      </c>
      <c r="P183" s="12">
        <f t="shared" si="17"/>
        <v>1</v>
      </c>
      <c r="Q183" s="12">
        <f t="shared" si="18"/>
        <v>1394.53</v>
      </c>
    </row>
    <row r="184" spans="1:17" x14ac:dyDescent="0.3">
      <c r="A184" s="12" t="s">
        <v>7</v>
      </c>
      <c r="B184" s="12" t="s">
        <v>12</v>
      </c>
      <c r="C184" s="12">
        <v>38.299999999999997</v>
      </c>
      <c r="D184" s="12">
        <v>19.2</v>
      </c>
      <c r="E184" s="12">
        <v>189</v>
      </c>
      <c r="F184" s="12">
        <v>3950</v>
      </c>
      <c r="G184" s="12" t="s">
        <v>9</v>
      </c>
      <c r="H184" s="12" t="str">
        <f t="shared" si="13"/>
        <v>3812.5</v>
      </c>
      <c r="I184" s="12" t="str">
        <f t="shared" si="14"/>
        <v>Yes</v>
      </c>
      <c r="N184" s="12" t="str">
        <f t="shared" si="15"/>
        <v>Small</v>
      </c>
      <c r="O184" s="12" t="str">
        <f t="shared" si="16"/>
        <v>Central</v>
      </c>
      <c r="P184" s="12">
        <f t="shared" si="17"/>
        <v>1</v>
      </c>
      <c r="Q184" s="12">
        <f t="shared" si="18"/>
        <v>1392.43</v>
      </c>
    </row>
    <row r="185" spans="1:17" x14ac:dyDescent="0.3">
      <c r="A185" s="12" t="s">
        <v>13</v>
      </c>
      <c r="B185" s="12" t="s">
        <v>12</v>
      </c>
      <c r="C185" s="12">
        <v>45.2</v>
      </c>
      <c r="D185" s="12">
        <v>17.8</v>
      </c>
      <c r="E185" s="12">
        <v>198</v>
      </c>
      <c r="F185" s="12">
        <v>3950</v>
      </c>
      <c r="G185" s="12" t="s">
        <v>10</v>
      </c>
      <c r="H185" s="12" t="str">
        <f t="shared" si="13"/>
        <v>3750</v>
      </c>
      <c r="I185" s="12" t="str">
        <f t="shared" si="14"/>
        <v>Yes</v>
      </c>
      <c r="N185" s="12" t="str">
        <f t="shared" si="15"/>
        <v>Medium</v>
      </c>
      <c r="O185" s="12" t="str">
        <f t="shared" si="16"/>
        <v>Central</v>
      </c>
      <c r="P185" s="12">
        <f t="shared" si="17"/>
        <v>1</v>
      </c>
      <c r="Q185" s="12">
        <f t="shared" si="18"/>
        <v>1397.73</v>
      </c>
    </row>
    <row r="186" spans="1:17" x14ac:dyDescent="0.3">
      <c r="A186" s="12" t="s">
        <v>13</v>
      </c>
      <c r="B186" s="12" t="s">
        <v>12</v>
      </c>
      <c r="C186" s="12">
        <v>49</v>
      </c>
      <c r="D186" s="12">
        <v>19.5</v>
      </c>
      <c r="E186" s="12">
        <v>210</v>
      </c>
      <c r="F186" s="12">
        <v>3950</v>
      </c>
      <c r="G186" s="12" t="s">
        <v>9</v>
      </c>
      <c r="H186" s="12" t="str">
        <f t="shared" si="13"/>
        <v>3750</v>
      </c>
      <c r="I186" s="12" t="str">
        <f t="shared" si="14"/>
        <v>Yes</v>
      </c>
      <c r="N186" s="12" t="str">
        <f t="shared" si="15"/>
        <v>Medium</v>
      </c>
      <c r="O186" s="12" t="str">
        <f t="shared" si="16"/>
        <v>Central</v>
      </c>
      <c r="P186" s="12">
        <f t="shared" si="17"/>
        <v>1</v>
      </c>
      <c r="Q186" s="12">
        <f t="shared" si="18"/>
        <v>1403</v>
      </c>
    </row>
    <row r="187" spans="1:17" x14ac:dyDescent="0.3">
      <c r="A187" s="12" t="s">
        <v>13</v>
      </c>
      <c r="B187" s="12" t="s">
        <v>12</v>
      </c>
      <c r="C187" s="12">
        <v>51.4</v>
      </c>
      <c r="D187" s="12">
        <v>19</v>
      </c>
      <c r="E187" s="12">
        <v>201</v>
      </c>
      <c r="F187" s="12">
        <v>3950</v>
      </c>
      <c r="G187" s="12" t="s">
        <v>9</v>
      </c>
      <c r="H187" s="12" t="str">
        <f t="shared" si="13"/>
        <v>3750</v>
      </c>
      <c r="I187" s="12" t="str">
        <f t="shared" si="14"/>
        <v>Yes</v>
      </c>
      <c r="N187" s="12" t="str">
        <f t="shared" si="15"/>
        <v>Medium</v>
      </c>
      <c r="O187" s="12" t="str">
        <f t="shared" si="16"/>
        <v>Central</v>
      </c>
      <c r="P187" s="12">
        <f t="shared" si="17"/>
        <v>1</v>
      </c>
      <c r="Q187" s="12">
        <f t="shared" si="18"/>
        <v>1400.8</v>
      </c>
    </row>
    <row r="188" spans="1:17" x14ac:dyDescent="0.3">
      <c r="A188" s="12" t="s">
        <v>13</v>
      </c>
      <c r="B188" s="12" t="s">
        <v>12</v>
      </c>
      <c r="C188" s="12">
        <v>51.9</v>
      </c>
      <c r="D188" s="12">
        <v>19.5</v>
      </c>
      <c r="E188" s="12">
        <v>206</v>
      </c>
      <c r="F188" s="12">
        <v>3950</v>
      </c>
      <c r="G188" s="12" t="s">
        <v>9</v>
      </c>
      <c r="H188" s="12" t="str">
        <f t="shared" si="13"/>
        <v>3750</v>
      </c>
      <c r="I188" s="12" t="str">
        <f t="shared" si="14"/>
        <v>Yes</v>
      </c>
      <c r="N188" s="12" t="str">
        <f t="shared" si="15"/>
        <v>Medium</v>
      </c>
      <c r="O188" s="12" t="str">
        <f t="shared" si="16"/>
        <v>Central</v>
      </c>
      <c r="P188" s="12">
        <f t="shared" si="17"/>
        <v>1</v>
      </c>
      <c r="Q188" s="12">
        <f t="shared" si="18"/>
        <v>1402.63</v>
      </c>
    </row>
    <row r="189" spans="1:17" x14ac:dyDescent="0.3">
      <c r="A189" s="12" t="s">
        <v>14</v>
      </c>
      <c r="B189" s="12" t="s">
        <v>11</v>
      </c>
      <c r="C189" s="12">
        <v>42.7</v>
      </c>
      <c r="D189" s="12">
        <v>13.7</v>
      </c>
      <c r="E189" s="12">
        <v>208</v>
      </c>
      <c r="F189" s="12">
        <v>3950</v>
      </c>
      <c r="G189" s="12" t="s">
        <v>10</v>
      </c>
      <c r="H189" s="12" t="str">
        <f t="shared" si="13"/>
        <v>5125</v>
      </c>
      <c r="I189" s="12" t="str">
        <f t="shared" si="14"/>
        <v>No</v>
      </c>
      <c r="N189" s="12" t="str">
        <f t="shared" si="15"/>
        <v>Large</v>
      </c>
      <c r="O189" s="12" t="str">
        <f t="shared" si="16"/>
        <v>West</v>
      </c>
      <c r="P189" s="12">
        <f t="shared" si="17"/>
        <v>1</v>
      </c>
      <c r="Q189" s="12">
        <f t="shared" si="18"/>
        <v>1400.23</v>
      </c>
    </row>
    <row r="190" spans="1:17" x14ac:dyDescent="0.3">
      <c r="A190" s="12" t="s">
        <v>7</v>
      </c>
      <c r="B190" s="12" t="s">
        <v>12</v>
      </c>
      <c r="C190" s="12">
        <v>37.200000000000003</v>
      </c>
      <c r="D190" s="12">
        <v>18.100000000000001</v>
      </c>
      <c r="E190" s="12">
        <v>178</v>
      </c>
      <c r="F190" s="12">
        <v>3900</v>
      </c>
      <c r="G190" s="12" t="s">
        <v>9</v>
      </c>
      <c r="H190" s="12" t="str">
        <f t="shared" si="13"/>
        <v>3812.5</v>
      </c>
      <c r="I190" s="12" t="str">
        <f t="shared" si="14"/>
        <v>Yes</v>
      </c>
      <c r="N190" s="12" t="str">
        <f t="shared" si="15"/>
        <v>Small</v>
      </c>
      <c r="O190" s="12" t="str">
        <f t="shared" si="16"/>
        <v>Central</v>
      </c>
      <c r="P190" s="12">
        <f t="shared" si="17"/>
        <v>1</v>
      </c>
      <c r="Q190" s="12">
        <f t="shared" si="18"/>
        <v>1371.73</v>
      </c>
    </row>
    <row r="191" spans="1:17" x14ac:dyDescent="0.3">
      <c r="A191" s="12" t="s">
        <v>7</v>
      </c>
      <c r="B191" s="12" t="s">
        <v>12</v>
      </c>
      <c r="C191" s="12">
        <v>40.9</v>
      </c>
      <c r="D191" s="12">
        <v>18.899999999999999</v>
      </c>
      <c r="E191" s="12">
        <v>184</v>
      </c>
      <c r="F191" s="12">
        <v>3900</v>
      </c>
      <c r="G191" s="12" t="s">
        <v>9</v>
      </c>
      <c r="H191" s="12" t="str">
        <f t="shared" si="13"/>
        <v>3812.5</v>
      </c>
      <c r="I191" s="12" t="str">
        <f t="shared" si="14"/>
        <v>Yes</v>
      </c>
      <c r="N191" s="12" t="str">
        <f t="shared" si="15"/>
        <v>Small</v>
      </c>
      <c r="O191" s="12" t="str">
        <f t="shared" si="16"/>
        <v>Central</v>
      </c>
      <c r="P191" s="12">
        <f t="shared" si="17"/>
        <v>1</v>
      </c>
      <c r="Q191" s="12">
        <f t="shared" si="18"/>
        <v>1374.97</v>
      </c>
    </row>
    <row r="192" spans="1:17" x14ac:dyDescent="0.3">
      <c r="A192" s="12" t="s">
        <v>7</v>
      </c>
      <c r="B192" s="12" t="s">
        <v>12</v>
      </c>
      <c r="C192" s="12">
        <v>40.799999999999997</v>
      </c>
      <c r="D192" s="12">
        <v>18.399999999999999</v>
      </c>
      <c r="E192" s="12">
        <v>195</v>
      </c>
      <c r="F192" s="12">
        <v>3900</v>
      </c>
      <c r="G192" s="12" t="s">
        <v>9</v>
      </c>
      <c r="H192" s="12" t="str">
        <f t="shared" si="13"/>
        <v>3812.5</v>
      </c>
      <c r="I192" s="12" t="str">
        <f t="shared" si="14"/>
        <v>Yes</v>
      </c>
      <c r="N192" s="12" t="str">
        <f t="shared" si="15"/>
        <v>Small</v>
      </c>
      <c r="O192" s="12" t="str">
        <f t="shared" si="16"/>
        <v>Central</v>
      </c>
      <c r="P192" s="12">
        <f t="shared" si="17"/>
        <v>1</v>
      </c>
      <c r="Q192" s="12">
        <f t="shared" si="18"/>
        <v>1378.6</v>
      </c>
    </row>
    <row r="193" spans="1:17" x14ac:dyDescent="0.3">
      <c r="A193" s="12" t="s">
        <v>7</v>
      </c>
      <c r="B193" s="12" t="s">
        <v>8</v>
      </c>
      <c r="C193" s="12">
        <v>39.700000000000003</v>
      </c>
      <c r="D193" s="12">
        <v>18.399999999999999</v>
      </c>
      <c r="E193" s="12">
        <v>190</v>
      </c>
      <c r="F193" s="12">
        <v>3900</v>
      </c>
      <c r="G193" s="12" t="s">
        <v>9</v>
      </c>
      <c r="H193" s="12" t="str">
        <f t="shared" si="13"/>
        <v>3812.5</v>
      </c>
      <c r="I193" s="12" t="str">
        <f t="shared" si="14"/>
        <v>Yes</v>
      </c>
      <c r="N193" s="12" t="str">
        <f t="shared" si="15"/>
        <v>Small</v>
      </c>
      <c r="O193" s="12" t="str">
        <f t="shared" si="16"/>
        <v>East</v>
      </c>
      <c r="P193" s="12">
        <f t="shared" si="17"/>
        <v>1</v>
      </c>
      <c r="Q193" s="12">
        <f t="shared" si="18"/>
        <v>1376.57</v>
      </c>
    </row>
    <row r="194" spans="1:17" x14ac:dyDescent="0.3">
      <c r="A194" s="12" t="s">
        <v>7</v>
      </c>
      <c r="B194" s="12" t="s">
        <v>8</v>
      </c>
      <c r="C194" s="12">
        <v>37.200000000000003</v>
      </c>
      <c r="D194" s="12">
        <v>19.399999999999999</v>
      </c>
      <c r="E194" s="12">
        <v>184</v>
      </c>
      <c r="F194" s="12">
        <v>3900</v>
      </c>
      <c r="G194" s="12" t="s">
        <v>9</v>
      </c>
      <c r="H194" s="12" t="str">
        <f t="shared" ref="H194:H257" si="19">IF(AND(A194="Gentoo"),"5125",IF(AND(A194="Chinstrap"),"3750",IF(AND(A194="Adelie"),"3812.5")))</f>
        <v>3812.5</v>
      </c>
      <c r="I194" s="12" t="str">
        <f t="shared" ref="I194:I257" si="20">IF(AND(A194="Gentoo",F194&gt;5125),"Yes",
   IF(AND(A194="Chinstrap",F194&gt;3750),"Yes",
   IF(AND(A194="Adelie",F194&gt;3812.5),"Yes","No")))</f>
        <v>Yes</v>
      </c>
      <c r="N194" s="12" t="str">
        <f t="shared" ref="N194:N257" si="21">VLOOKUP(A194,$J$2:$K$4,2,FALSE)</f>
        <v>Small</v>
      </c>
      <c r="O194" s="12" t="str">
        <f t="shared" ref="O194:O257" si="22">VLOOKUP(B194,$L$2:$M$4,2,FALSE)</f>
        <v>East</v>
      </c>
      <c r="P194" s="12">
        <f t="shared" ref="P194:P257" si="23">IF(F194&gt;5000,3,IF(F194&gt;4000,2,1))</f>
        <v>1</v>
      </c>
      <c r="Q194" s="12">
        <f t="shared" ref="Q194:Q257" si="24">ROUND((F194+E194+C194)/3,2)</f>
        <v>1373.73</v>
      </c>
    </row>
    <row r="195" spans="1:17" x14ac:dyDescent="0.3">
      <c r="A195" s="12" t="s">
        <v>7</v>
      </c>
      <c r="B195" s="12" t="s">
        <v>11</v>
      </c>
      <c r="C195" s="12">
        <v>38.200000000000003</v>
      </c>
      <c r="D195" s="12">
        <v>20</v>
      </c>
      <c r="E195" s="12">
        <v>190</v>
      </c>
      <c r="F195" s="12">
        <v>3900</v>
      </c>
      <c r="G195" s="12" t="s">
        <v>9</v>
      </c>
      <c r="H195" s="12" t="str">
        <f t="shared" si="19"/>
        <v>3812.5</v>
      </c>
      <c r="I195" s="12" t="str">
        <f t="shared" si="20"/>
        <v>Yes</v>
      </c>
      <c r="N195" s="12" t="str">
        <f t="shared" si="21"/>
        <v>Small</v>
      </c>
      <c r="O195" s="12" t="str">
        <f t="shared" si="22"/>
        <v>West</v>
      </c>
      <c r="P195" s="12">
        <f t="shared" si="23"/>
        <v>1</v>
      </c>
      <c r="Q195" s="12">
        <f t="shared" si="24"/>
        <v>1376.07</v>
      </c>
    </row>
    <row r="196" spans="1:17" x14ac:dyDescent="0.3">
      <c r="A196" s="12" t="s">
        <v>7</v>
      </c>
      <c r="B196" s="12" t="s">
        <v>11</v>
      </c>
      <c r="C196" s="12">
        <v>39.6</v>
      </c>
      <c r="D196" s="12">
        <v>20.7</v>
      </c>
      <c r="E196" s="12">
        <v>191</v>
      </c>
      <c r="F196" s="12">
        <v>3900</v>
      </c>
      <c r="G196" s="12" t="s">
        <v>10</v>
      </c>
      <c r="H196" s="12" t="str">
        <f t="shared" si="19"/>
        <v>3812.5</v>
      </c>
      <c r="I196" s="12" t="str">
        <f t="shared" si="20"/>
        <v>Yes</v>
      </c>
      <c r="N196" s="12" t="str">
        <f t="shared" si="21"/>
        <v>Small</v>
      </c>
      <c r="O196" s="12" t="str">
        <f t="shared" si="22"/>
        <v>West</v>
      </c>
      <c r="P196" s="12">
        <f t="shared" si="23"/>
        <v>1</v>
      </c>
      <c r="Q196" s="12">
        <f t="shared" si="24"/>
        <v>1376.87</v>
      </c>
    </row>
    <row r="197" spans="1:17" x14ac:dyDescent="0.3">
      <c r="A197" s="12" t="s">
        <v>7</v>
      </c>
      <c r="B197" s="12" t="s">
        <v>12</v>
      </c>
      <c r="C197" s="12">
        <v>41.1</v>
      </c>
      <c r="D197" s="12">
        <v>17.5</v>
      </c>
      <c r="E197" s="12">
        <v>190</v>
      </c>
      <c r="F197" s="12">
        <v>3900</v>
      </c>
      <c r="G197" s="12" t="s">
        <v>9</v>
      </c>
      <c r="H197" s="12" t="str">
        <f t="shared" si="19"/>
        <v>3812.5</v>
      </c>
      <c r="I197" s="12" t="str">
        <f t="shared" si="20"/>
        <v>Yes</v>
      </c>
      <c r="N197" s="12" t="str">
        <f t="shared" si="21"/>
        <v>Small</v>
      </c>
      <c r="O197" s="12" t="str">
        <f t="shared" si="22"/>
        <v>Central</v>
      </c>
      <c r="P197" s="12">
        <f t="shared" si="23"/>
        <v>1</v>
      </c>
      <c r="Q197" s="12">
        <f t="shared" si="24"/>
        <v>1377.03</v>
      </c>
    </row>
    <row r="198" spans="1:17" x14ac:dyDescent="0.3">
      <c r="A198" s="12" t="s">
        <v>13</v>
      </c>
      <c r="B198" s="12" t="s">
        <v>12</v>
      </c>
      <c r="C198" s="12">
        <v>50</v>
      </c>
      <c r="D198" s="12">
        <v>19.5</v>
      </c>
      <c r="E198" s="12">
        <v>196</v>
      </c>
      <c r="F198" s="12">
        <v>3900</v>
      </c>
      <c r="G198" s="12" t="s">
        <v>9</v>
      </c>
      <c r="H198" s="12" t="str">
        <f t="shared" si="19"/>
        <v>3750</v>
      </c>
      <c r="I198" s="12" t="str">
        <f t="shared" si="20"/>
        <v>Yes</v>
      </c>
      <c r="N198" s="12" t="str">
        <f t="shared" si="21"/>
        <v>Medium</v>
      </c>
      <c r="O198" s="12" t="str">
        <f t="shared" si="22"/>
        <v>Central</v>
      </c>
      <c r="P198" s="12">
        <f t="shared" si="23"/>
        <v>1</v>
      </c>
      <c r="Q198" s="12">
        <f t="shared" si="24"/>
        <v>1382</v>
      </c>
    </row>
    <row r="199" spans="1:17" x14ac:dyDescent="0.3">
      <c r="A199" s="12" t="s">
        <v>13</v>
      </c>
      <c r="B199" s="12" t="s">
        <v>12</v>
      </c>
      <c r="C199" s="12">
        <v>47.5</v>
      </c>
      <c r="D199" s="12">
        <v>16.8</v>
      </c>
      <c r="E199" s="12">
        <v>199</v>
      </c>
      <c r="F199" s="12">
        <v>3900</v>
      </c>
      <c r="G199" s="12" t="s">
        <v>10</v>
      </c>
      <c r="H199" s="12" t="str">
        <f t="shared" si="19"/>
        <v>3750</v>
      </c>
      <c r="I199" s="12" t="str">
        <f t="shared" si="20"/>
        <v>Yes</v>
      </c>
      <c r="N199" s="12" t="str">
        <f t="shared" si="21"/>
        <v>Medium</v>
      </c>
      <c r="O199" s="12" t="str">
        <f t="shared" si="22"/>
        <v>Central</v>
      </c>
      <c r="P199" s="12">
        <f t="shared" si="23"/>
        <v>1</v>
      </c>
      <c r="Q199" s="12">
        <f t="shared" si="24"/>
        <v>1382.17</v>
      </c>
    </row>
    <row r="200" spans="1:17" x14ac:dyDescent="0.3">
      <c r="A200" s="12" t="s">
        <v>7</v>
      </c>
      <c r="B200" s="12" t="s">
        <v>8</v>
      </c>
      <c r="C200" s="12">
        <v>41.4</v>
      </c>
      <c r="D200" s="12">
        <v>18.5</v>
      </c>
      <c r="E200" s="12">
        <v>202</v>
      </c>
      <c r="F200" s="12">
        <v>3875</v>
      </c>
      <c r="G200" s="12" t="s">
        <v>9</v>
      </c>
      <c r="H200" s="12" t="str">
        <f t="shared" si="19"/>
        <v>3812.5</v>
      </c>
      <c r="I200" s="12" t="str">
        <f t="shared" si="20"/>
        <v>Yes</v>
      </c>
      <c r="N200" s="12" t="str">
        <f t="shared" si="21"/>
        <v>Small</v>
      </c>
      <c r="O200" s="12" t="str">
        <f t="shared" si="22"/>
        <v>East</v>
      </c>
      <c r="P200" s="12">
        <f t="shared" si="23"/>
        <v>1</v>
      </c>
      <c r="Q200" s="12">
        <f t="shared" si="24"/>
        <v>1372.8</v>
      </c>
    </row>
    <row r="201" spans="1:17" x14ac:dyDescent="0.3">
      <c r="A201" s="12" t="s">
        <v>13</v>
      </c>
      <c r="B201" s="12" t="s">
        <v>12</v>
      </c>
      <c r="C201" s="12">
        <v>47.6</v>
      </c>
      <c r="D201" s="12">
        <v>18.3</v>
      </c>
      <c r="E201" s="12">
        <v>195</v>
      </c>
      <c r="F201" s="12">
        <v>3850</v>
      </c>
      <c r="G201" s="12" t="s">
        <v>10</v>
      </c>
      <c r="H201" s="12" t="str">
        <f t="shared" si="19"/>
        <v>3750</v>
      </c>
      <c r="I201" s="12" t="str">
        <f t="shared" si="20"/>
        <v>Yes</v>
      </c>
      <c r="N201" s="12" t="str">
        <f t="shared" si="21"/>
        <v>Medium</v>
      </c>
      <c r="O201" s="12" t="str">
        <f t="shared" si="22"/>
        <v>Central</v>
      </c>
      <c r="P201" s="12">
        <f t="shared" si="23"/>
        <v>1</v>
      </c>
      <c r="Q201" s="12">
        <f t="shared" si="24"/>
        <v>1364.2</v>
      </c>
    </row>
    <row r="202" spans="1:17" x14ac:dyDescent="0.3">
      <c r="A202" s="12" t="s">
        <v>7</v>
      </c>
      <c r="B202" s="12" t="s">
        <v>11</v>
      </c>
      <c r="C202" s="12">
        <v>38.1</v>
      </c>
      <c r="D202" s="12">
        <v>16.5</v>
      </c>
      <c r="E202" s="12">
        <v>198</v>
      </c>
      <c r="F202" s="12">
        <v>3825</v>
      </c>
      <c r="G202" s="12" t="s">
        <v>10</v>
      </c>
      <c r="H202" s="12" t="str">
        <f t="shared" si="19"/>
        <v>3812.5</v>
      </c>
      <c r="I202" s="12" t="str">
        <f t="shared" si="20"/>
        <v>Yes</v>
      </c>
      <c r="N202" s="12" t="str">
        <f t="shared" si="21"/>
        <v>Small</v>
      </c>
      <c r="O202" s="12" t="str">
        <f t="shared" si="22"/>
        <v>West</v>
      </c>
      <c r="P202" s="12">
        <f t="shared" si="23"/>
        <v>1</v>
      </c>
      <c r="Q202" s="12">
        <f t="shared" si="24"/>
        <v>1353.7</v>
      </c>
    </row>
    <row r="203" spans="1:17" x14ac:dyDescent="0.3">
      <c r="A203" s="12" t="s">
        <v>7</v>
      </c>
      <c r="B203" s="12" t="s">
        <v>8</v>
      </c>
      <c r="C203" s="12">
        <v>39.5</v>
      </c>
      <c r="D203" s="12">
        <v>17.399999999999999</v>
      </c>
      <c r="E203" s="12">
        <v>186</v>
      </c>
      <c r="F203" s="12">
        <v>3800</v>
      </c>
      <c r="G203" s="12" t="s">
        <v>10</v>
      </c>
      <c r="H203" s="12" t="str">
        <f t="shared" si="19"/>
        <v>3812.5</v>
      </c>
      <c r="I203" s="12" t="str">
        <f t="shared" si="20"/>
        <v>No</v>
      </c>
      <c r="N203" s="12" t="str">
        <f t="shared" si="21"/>
        <v>Small</v>
      </c>
      <c r="O203" s="12" t="str">
        <f t="shared" si="22"/>
        <v>East</v>
      </c>
      <c r="P203" s="12">
        <f t="shared" si="23"/>
        <v>1</v>
      </c>
      <c r="Q203" s="12">
        <f t="shared" si="24"/>
        <v>1341.83</v>
      </c>
    </row>
    <row r="204" spans="1:17" x14ac:dyDescent="0.3">
      <c r="A204" s="12" t="s">
        <v>7</v>
      </c>
      <c r="B204" s="12" t="s">
        <v>8</v>
      </c>
      <c r="C204" s="12">
        <v>38.6</v>
      </c>
      <c r="D204" s="12">
        <v>21.2</v>
      </c>
      <c r="E204" s="12">
        <v>191</v>
      </c>
      <c r="F204" s="12">
        <v>3800</v>
      </c>
      <c r="G204" s="12" t="s">
        <v>9</v>
      </c>
      <c r="H204" s="12" t="str">
        <f t="shared" si="19"/>
        <v>3812.5</v>
      </c>
      <c r="I204" s="12" t="str">
        <f t="shared" si="20"/>
        <v>No</v>
      </c>
      <c r="N204" s="12" t="str">
        <f t="shared" si="21"/>
        <v>Small</v>
      </c>
      <c r="O204" s="12" t="str">
        <f t="shared" si="22"/>
        <v>East</v>
      </c>
      <c r="P204" s="12">
        <f t="shared" si="23"/>
        <v>1</v>
      </c>
      <c r="Q204" s="12">
        <f t="shared" si="24"/>
        <v>1343.2</v>
      </c>
    </row>
    <row r="205" spans="1:17" x14ac:dyDescent="0.3">
      <c r="A205" s="12" t="s">
        <v>7</v>
      </c>
      <c r="B205" s="12" t="s">
        <v>11</v>
      </c>
      <c r="C205" s="12">
        <v>35.9</v>
      </c>
      <c r="D205" s="12">
        <v>19.2</v>
      </c>
      <c r="E205" s="12">
        <v>189</v>
      </c>
      <c r="F205" s="12">
        <v>3800</v>
      </c>
      <c r="G205" s="12" t="s">
        <v>10</v>
      </c>
      <c r="H205" s="12" t="str">
        <f t="shared" si="19"/>
        <v>3812.5</v>
      </c>
      <c r="I205" s="12" t="str">
        <f t="shared" si="20"/>
        <v>No</v>
      </c>
      <c r="N205" s="12" t="str">
        <f t="shared" si="21"/>
        <v>Small</v>
      </c>
      <c r="O205" s="12" t="str">
        <f t="shared" si="22"/>
        <v>West</v>
      </c>
      <c r="P205" s="12">
        <f t="shared" si="23"/>
        <v>1</v>
      </c>
      <c r="Q205" s="12">
        <f t="shared" si="24"/>
        <v>1341.63</v>
      </c>
    </row>
    <row r="206" spans="1:17" x14ac:dyDescent="0.3">
      <c r="A206" s="12" t="s">
        <v>7</v>
      </c>
      <c r="B206" s="12" t="s">
        <v>11</v>
      </c>
      <c r="C206" s="12">
        <v>38.799999999999997</v>
      </c>
      <c r="D206" s="12">
        <v>17.2</v>
      </c>
      <c r="E206" s="12">
        <v>180</v>
      </c>
      <c r="F206" s="12">
        <v>3800</v>
      </c>
      <c r="G206" s="12" t="s">
        <v>9</v>
      </c>
      <c r="H206" s="12" t="str">
        <f t="shared" si="19"/>
        <v>3812.5</v>
      </c>
      <c r="I206" s="12" t="str">
        <f t="shared" si="20"/>
        <v>No</v>
      </c>
      <c r="N206" s="12" t="str">
        <f t="shared" si="21"/>
        <v>Small</v>
      </c>
      <c r="O206" s="12" t="str">
        <f t="shared" si="22"/>
        <v>West</v>
      </c>
      <c r="P206" s="12">
        <f t="shared" si="23"/>
        <v>1</v>
      </c>
      <c r="Q206" s="12">
        <f t="shared" si="24"/>
        <v>1339.6</v>
      </c>
    </row>
    <row r="207" spans="1:17" x14ac:dyDescent="0.3">
      <c r="A207" s="12" t="s">
        <v>7</v>
      </c>
      <c r="B207" s="12" t="s">
        <v>11</v>
      </c>
      <c r="C207" s="12">
        <v>35.299999999999997</v>
      </c>
      <c r="D207" s="12">
        <v>18.899999999999999</v>
      </c>
      <c r="E207" s="12">
        <v>187</v>
      </c>
      <c r="F207" s="12">
        <v>3800</v>
      </c>
      <c r="G207" s="12" t="s">
        <v>10</v>
      </c>
      <c r="H207" s="12" t="str">
        <f t="shared" si="19"/>
        <v>3812.5</v>
      </c>
      <c r="I207" s="12" t="str">
        <f t="shared" si="20"/>
        <v>No</v>
      </c>
      <c r="N207" s="12" t="str">
        <f t="shared" si="21"/>
        <v>Small</v>
      </c>
      <c r="O207" s="12" t="str">
        <f t="shared" si="22"/>
        <v>West</v>
      </c>
      <c r="P207" s="12">
        <f t="shared" si="23"/>
        <v>1</v>
      </c>
      <c r="Q207" s="12">
        <f t="shared" si="24"/>
        <v>1340.77</v>
      </c>
    </row>
    <row r="208" spans="1:17" x14ac:dyDescent="0.3">
      <c r="A208" s="12" t="s">
        <v>7</v>
      </c>
      <c r="B208" s="12" t="s">
        <v>11</v>
      </c>
      <c r="C208" s="12">
        <v>40.6</v>
      </c>
      <c r="D208" s="12">
        <v>18.8</v>
      </c>
      <c r="E208" s="12">
        <v>193</v>
      </c>
      <c r="F208" s="12">
        <v>3800</v>
      </c>
      <c r="G208" s="12" t="s">
        <v>9</v>
      </c>
      <c r="H208" s="12" t="str">
        <f t="shared" si="19"/>
        <v>3812.5</v>
      </c>
      <c r="I208" s="12" t="str">
        <f t="shared" si="20"/>
        <v>No</v>
      </c>
      <c r="N208" s="12" t="str">
        <f t="shared" si="21"/>
        <v>Small</v>
      </c>
      <c r="O208" s="12" t="str">
        <f t="shared" si="22"/>
        <v>West</v>
      </c>
      <c r="P208" s="12">
        <f t="shared" si="23"/>
        <v>1</v>
      </c>
      <c r="Q208" s="12">
        <f t="shared" si="24"/>
        <v>1344.53</v>
      </c>
    </row>
    <row r="209" spans="1:17" x14ac:dyDescent="0.3">
      <c r="A209" s="12" t="s">
        <v>7</v>
      </c>
      <c r="B209" s="12" t="s">
        <v>8</v>
      </c>
      <c r="C209" s="12">
        <v>36.700000000000003</v>
      </c>
      <c r="D209" s="12">
        <v>18.8</v>
      </c>
      <c r="E209" s="12">
        <v>187</v>
      </c>
      <c r="F209" s="12">
        <v>3800</v>
      </c>
      <c r="G209" s="12" t="s">
        <v>10</v>
      </c>
      <c r="H209" s="12" t="str">
        <f t="shared" si="19"/>
        <v>3812.5</v>
      </c>
      <c r="I209" s="12" t="str">
        <f t="shared" si="20"/>
        <v>No</v>
      </c>
      <c r="N209" s="12" t="str">
        <f t="shared" si="21"/>
        <v>Small</v>
      </c>
      <c r="O209" s="12" t="str">
        <f t="shared" si="22"/>
        <v>East</v>
      </c>
      <c r="P209" s="12">
        <f t="shared" si="23"/>
        <v>1</v>
      </c>
      <c r="Q209" s="12">
        <f t="shared" si="24"/>
        <v>1341.23</v>
      </c>
    </row>
    <row r="210" spans="1:17" x14ac:dyDescent="0.3">
      <c r="A210" s="12" t="s">
        <v>7</v>
      </c>
      <c r="B210" s="12" t="s">
        <v>12</v>
      </c>
      <c r="C210" s="12">
        <v>36.299999999999997</v>
      </c>
      <c r="D210" s="12">
        <v>19.5</v>
      </c>
      <c r="E210" s="12">
        <v>190</v>
      </c>
      <c r="F210" s="12">
        <v>3800</v>
      </c>
      <c r="G210" s="12" t="s">
        <v>9</v>
      </c>
      <c r="H210" s="12" t="str">
        <f t="shared" si="19"/>
        <v>3812.5</v>
      </c>
      <c r="I210" s="12" t="str">
        <f t="shared" si="20"/>
        <v>No</v>
      </c>
      <c r="N210" s="12" t="str">
        <f t="shared" si="21"/>
        <v>Small</v>
      </c>
      <c r="O210" s="12" t="str">
        <f t="shared" si="22"/>
        <v>Central</v>
      </c>
      <c r="P210" s="12">
        <f t="shared" si="23"/>
        <v>1</v>
      </c>
      <c r="Q210" s="12">
        <f t="shared" si="24"/>
        <v>1342.1</v>
      </c>
    </row>
    <row r="211" spans="1:17" x14ac:dyDescent="0.3">
      <c r="A211" s="12" t="s">
        <v>13</v>
      </c>
      <c r="B211" s="12" t="s">
        <v>12</v>
      </c>
      <c r="C211" s="12">
        <v>46.6</v>
      </c>
      <c r="D211" s="12">
        <v>17.8</v>
      </c>
      <c r="E211" s="12">
        <v>193</v>
      </c>
      <c r="F211" s="12">
        <v>3800</v>
      </c>
      <c r="G211" s="12" t="s">
        <v>10</v>
      </c>
      <c r="H211" s="12" t="str">
        <f t="shared" si="19"/>
        <v>3750</v>
      </c>
      <c r="I211" s="12" t="str">
        <f t="shared" si="20"/>
        <v>Yes</v>
      </c>
      <c r="N211" s="12" t="str">
        <f t="shared" si="21"/>
        <v>Medium</v>
      </c>
      <c r="O211" s="12" t="str">
        <f t="shared" si="22"/>
        <v>Central</v>
      </c>
      <c r="P211" s="12">
        <f t="shared" si="23"/>
        <v>1</v>
      </c>
      <c r="Q211" s="12">
        <f t="shared" si="24"/>
        <v>1346.53</v>
      </c>
    </row>
    <row r="212" spans="1:17" x14ac:dyDescent="0.3">
      <c r="A212" s="12" t="s">
        <v>13</v>
      </c>
      <c r="B212" s="12" t="s">
        <v>12</v>
      </c>
      <c r="C212" s="12">
        <v>50.6</v>
      </c>
      <c r="D212" s="12">
        <v>19.399999999999999</v>
      </c>
      <c r="E212" s="12">
        <v>193</v>
      </c>
      <c r="F212" s="12">
        <v>3800</v>
      </c>
      <c r="G212" s="12" t="s">
        <v>9</v>
      </c>
      <c r="H212" s="12" t="str">
        <f t="shared" si="19"/>
        <v>3750</v>
      </c>
      <c r="I212" s="12" t="str">
        <f t="shared" si="20"/>
        <v>Yes</v>
      </c>
      <c r="N212" s="12" t="str">
        <f t="shared" si="21"/>
        <v>Medium</v>
      </c>
      <c r="O212" s="12" t="str">
        <f t="shared" si="22"/>
        <v>Central</v>
      </c>
      <c r="P212" s="12">
        <f t="shared" si="23"/>
        <v>1</v>
      </c>
      <c r="Q212" s="12">
        <f t="shared" si="24"/>
        <v>1347.87</v>
      </c>
    </row>
    <row r="213" spans="1:17" x14ac:dyDescent="0.3">
      <c r="A213" s="12" t="s">
        <v>13</v>
      </c>
      <c r="B213" s="12" t="s">
        <v>12</v>
      </c>
      <c r="C213" s="12">
        <v>49.5</v>
      </c>
      <c r="D213" s="12">
        <v>19</v>
      </c>
      <c r="E213" s="12">
        <v>200</v>
      </c>
      <c r="F213" s="12">
        <v>3800</v>
      </c>
      <c r="G213" s="12" t="s">
        <v>9</v>
      </c>
      <c r="H213" s="12" t="str">
        <f t="shared" si="19"/>
        <v>3750</v>
      </c>
      <c r="I213" s="12" t="str">
        <f t="shared" si="20"/>
        <v>Yes</v>
      </c>
      <c r="N213" s="12" t="str">
        <f t="shared" si="21"/>
        <v>Medium</v>
      </c>
      <c r="O213" s="12" t="str">
        <f t="shared" si="22"/>
        <v>Central</v>
      </c>
      <c r="P213" s="12">
        <f t="shared" si="23"/>
        <v>1</v>
      </c>
      <c r="Q213" s="12">
        <f t="shared" si="24"/>
        <v>1349.83</v>
      </c>
    </row>
    <row r="214" spans="1:17" x14ac:dyDescent="0.3">
      <c r="A214" s="12" t="s">
        <v>13</v>
      </c>
      <c r="B214" s="12" t="s">
        <v>12</v>
      </c>
      <c r="C214" s="12">
        <v>50.2</v>
      </c>
      <c r="D214" s="12">
        <v>18.8</v>
      </c>
      <c r="E214" s="12">
        <v>202</v>
      </c>
      <c r="F214" s="12">
        <v>3800</v>
      </c>
      <c r="G214" s="12" t="s">
        <v>9</v>
      </c>
      <c r="H214" s="12" t="str">
        <f t="shared" si="19"/>
        <v>3750</v>
      </c>
      <c r="I214" s="12" t="str">
        <f t="shared" si="20"/>
        <v>Yes</v>
      </c>
      <c r="N214" s="12" t="str">
        <f t="shared" si="21"/>
        <v>Medium</v>
      </c>
      <c r="O214" s="12" t="str">
        <f t="shared" si="22"/>
        <v>Central</v>
      </c>
      <c r="P214" s="12">
        <f t="shared" si="23"/>
        <v>1</v>
      </c>
      <c r="Q214" s="12">
        <f t="shared" si="24"/>
        <v>1350.73</v>
      </c>
    </row>
    <row r="215" spans="1:17" x14ac:dyDescent="0.3">
      <c r="A215" s="12" t="s">
        <v>7</v>
      </c>
      <c r="B215" s="12" t="s">
        <v>8</v>
      </c>
      <c r="C215" s="12">
        <v>37.299999999999997</v>
      </c>
      <c r="D215" s="12">
        <v>20.5</v>
      </c>
      <c r="E215" s="12">
        <v>199</v>
      </c>
      <c r="F215" s="12">
        <v>3775</v>
      </c>
      <c r="G215" s="12" t="s">
        <v>9</v>
      </c>
      <c r="H215" s="12" t="str">
        <f t="shared" si="19"/>
        <v>3812.5</v>
      </c>
      <c r="I215" s="12" t="str">
        <f t="shared" si="20"/>
        <v>No</v>
      </c>
      <c r="N215" s="12" t="str">
        <f t="shared" si="21"/>
        <v>Small</v>
      </c>
      <c r="O215" s="12" t="str">
        <f t="shared" si="22"/>
        <v>East</v>
      </c>
      <c r="P215" s="12">
        <f t="shared" si="23"/>
        <v>1</v>
      </c>
      <c r="Q215" s="12">
        <f t="shared" si="24"/>
        <v>1337.1</v>
      </c>
    </row>
    <row r="216" spans="1:17" x14ac:dyDescent="0.3">
      <c r="A216" s="12" t="s">
        <v>13</v>
      </c>
      <c r="B216" s="12" t="s">
        <v>12</v>
      </c>
      <c r="C216" s="12">
        <v>51.7</v>
      </c>
      <c r="D216" s="12">
        <v>20.3</v>
      </c>
      <c r="E216" s="12">
        <v>194</v>
      </c>
      <c r="F216" s="12">
        <v>3775</v>
      </c>
      <c r="G216" s="12" t="s">
        <v>9</v>
      </c>
      <c r="H216" s="12" t="str">
        <f t="shared" si="19"/>
        <v>3750</v>
      </c>
      <c r="I216" s="12" t="str">
        <f t="shared" si="20"/>
        <v>Yes</v>
      </c>
      <c r="N216" s="12" t="str">
        <f t="shared" si="21"/>
        <v>Medium</v>
      </c>
      <c r="O216" s="12" t="str">
        <f t="shared" si="22"/>
        <v>Central</v>
      </c>
      <c r="P216" s="12">
        <f t="shared" si="23"/>
        <v>1</v>
      </c>
      <c r="Q216" s="12">
        <f t="shared" si="24"/>
        <v>1340.23</v>
      </c>
    </row>
    <row r="217" spans="1:17" x14ac:dyDescent="0.3">
      <c r="A217" s="12" t="s">
        <v>13</v>
      </c>
      <c r="B217" s="12" t="s">
        <v>12</v>
      </c>
      <c r="C217" s="12">
        <v>49.6</v>
      </c>
      <c r="D217" s="12">
        <v>18.2</v>
      </c>
      <c r="E217" s="12">
        <v>193</v>
      </c>
      <c r="F217" s="12">
        <v>3775</v>
      </c>
      <c r="G217" s="12" t="s">
        <v>9</v>
      </c>
      <c r="H217" s="12" t="str">
        <f t="shared" si="19"/>
        <v>3750</v>
      </c>
      <c r="I217" s="12" t="str">
        <f t="shared" si="20"/>
        <v>Yes</v>
      </c>
      <c r="N217" s="12" t="str">
        <f t="shared" si="21"/>
        <v>Medium</v>
      </c>
      <c r="O217" s="12" t="str">
        <f t="shared" si="22"/>
        <v>Central</v>
      </c>
      <c r="P217" s="12">
        <f t="shared" si="23"/>
        <v>1</v>
      </c>
      <c r="Q217" s="12">
        <f t="shared" si="24"/>
        <v>1339.2</v>
      </c>
    </row>
    <row r="218" spans="1:17" x14ac:dyDescent="0.3">
      <c r="A218" s="12" t="s">
        <v>13</v>
      </c>
      <c r="B218" s="12" t="s">
        <v>12</v>
      </c>
      <c r="C218" s="12">
        <v>50.2</v>
      </c>
      <c r="D218" s="12">
        <v>18.7</v>
      </c>
      <c r="E218" s="12">
        <v>198</v>
      </c>
      <c r="F218" s="12">
        <v>3775</v>
      </c>
      <c r="G218" s="12" t="s">
        <v>10</v>
      </c>
      <c r="H218" s="12" t="str">
        <f t="shared" si="19"/>
        <v>3750</v>
      </c>
      <c r="I218" s="12" t="str">
        <f t="shared" si="20"/>
        <v>Yes</v>
      </c>
      <c r="N218" s="12" t="str">
        <f t="shared" si="21"/>
        <v>Medium</v>
      </c>
      <c r="O218" s="12" t="str">
        <f t="shared" si="22"/>
        <v>Central</v>
      </c>
      <c r="P218" s="12">
        <f t="shared" si="23"/>
        <v>1</v>
      </c>
      <c r="Q218" s="12">
        <f t="shared" si="24"/>
        <v>1341.07</v>
      </c>
    </row>
    <row r="219" spans="1:17" x14ac:dyDescent="0.3">
      <c r="A219" s="12" t="s">
        <v>7</v>
      </c>
      <c r="B219" s="12" t="s">
        <v>8</v>
      </c>
      <c r="C219" s="12">
        <v>39.1</v>
      </c>
      <c r="D219" s="12">
        <v>18.7</v>
      </c>
      <c r="E219" s="12">
        <v>181</v>
      </c>
      <c r="F219" s="12">
        <v>3750</v>
      </c>
      <c r="G219" s="12" t="s">
        <v>9</v>
      </c>
      <c r="H219" s="12" t="str">
        <f t="shared" si="19"/>
        <v>3812.5</v>
      </c>
      <c r="I219" s="12" t="str">
        <f t="shared" si="20"/>
        <v>No</v>
      </c>
      <c r="N219" s="12" t="str">
        <f t="shared" si="21"/>
        <v>Small</v>
      </c>
      <c r="O219" s="12" t="str">
        <f t="shared" si="22"/>
        <v>East</v>
      </c>
      <c r="P219" s="12">
        <f t="shared" si="23"/>
        <v>1</v>
      </c>
      <c r="Q219" s="12">
        <f t="shared" si="24"/>
        <v>1323.37</v>
      </c>
    </row>
    <row r="220" spans="1:17" x14ac:dyDescent="0.3">
      <c r="A220" s="12" t="s">
        <v>7</v>
      </c>
      <c r="B220" s="12" t="s">
        <v>11</v>
      </c>
      <c r="C220" s="12">
        <v>37.6</v>
      </c>
      <c r="D220" s="12">
        <v>19.100000000000001</v>
      </c>
      <c r="E220" s="12">
        <v>194</v>
      </c>
      <c r="F220" s="12">
        <v>3750</v>
      </c>
      <c r="G220" s="12" t="s">
        <v>9</v>
      </c>
      <c r="H220" s="12" t="str">
        <f t="shared" si="19"/>
        <v>3812.5</v>
      </c>
      <c r="I220" s="12" t="str">
        <f t="shared" si="20"/>
        <v>No</v>
      </c>
      <c r="N220" s="12" t="str">
        <f t="shared" si="21"/>
        <v>Small</v>
      </c>
      <c r="O220" s="12" t="str">
        <f t="shared" si="22"/>
        <v>West</v>
      </c>
      <c r="P220" s="12">
        <f t="shared" si="23"/>
        <v>1</v>
      </c>
      <c r="Q220" s="12">
        <f t="shared" si="24"/>
        <v>1327.2</v>
      </c>
    </row>
    <row r="221" spans="1:17" x14ac:dyDescent="0.3">
      <c r="A221" s="12" t="s">
        <v>7</v>
      </c>
      <c r="B221" s="12" t="s">
        <v>11</v>
      </c>
      <c r="C221" s="12">
        <v>38.6</v>
      </c>
      <c r="D221" s="12">
        <v>17.2</v>
      </c>
      <c r="E221" s="12">
        <v>199</v>
      </c>
      <c r="F221" s="12">
        <v>3750</v>
      </c>
      <c r="G221" s="12" t="s">
        <v>10</v>
      </c>
      <c r="H221" s="12" t="str">
        <f t="shared" si="19"/>
        <v>3812.5</v>
      </c>
      <c r="I221" s="12" t="str">
        <f t="shared" si="20"/>
        <v>No</v>
      </c>
      <c r="N221" s="12" t="str">
        <f t="shared" si="21"/>
        <v>Small</v>
      </c>
      <c r="O221" s="12" t="str">
        <f t="shared" si="22"/>
        <v>West</v>
      </c>
      <c r="P221" s="12">
        <f t="shared" si="23"/>
        <v>1</v>
      </c>
      <c r="Q221" s="12">
        <f t="shared" si="24"/>
        <v>1329.2</v>
      </c>
    </row>
    <row r="222" spans="1:17" x14ac:dyDescent="0.3">
      <c r="A222" s="12" t="s">
        <v>7</v>
      </c>
      <c r="B222" s="12" t="s">
        <v>12</v>
      </c>
      <c r="C222" s="12">
        <v>37.799999999999997</v>
      </c>
      <c r="D222" s="12">
        <v>18.100000000000001</v>
      </c>
      <c r="E222" s="12">
        <v>193</v>
      </c>
      <c r="F222" s="12">
        <v>3750</v>
      </c>
      <c r="G222" s="12" t="s">
        <v>9</v>
      </c>
      <c r="H222" s="12" t="str">
        <f t="shared" si="19"/>
        <v>3812.5</v>
      </c>
      <c r="I222" s="12" t="str">
        <f t="shared" si="20"/>
        <v>No</v>
      </c>
      <c r="N222" s="12" t="str">
        <f t="shared" si="21"/>
        <v>Small</v>
      </c>
      <c r="O222" s="12" t="str">
        <f t="shared" si="22"/>
        <v>Central</v>
      </c>
      <c r="P222" s="12">
        <f t="shared" si="23"/>
        <v>1</v>
      </c>
      <c r="Q222" s="12">
        <f t="shared" si="24"/>
        <v>1326.93</v>
      </c>
    </row>
    <row r="223" spans="1:17" x14ac:dyDescent="0.3">
      <c r="A223" s="12" t="s">
        <v>13</v>
      </c>
      <c r="B223" s="12" t="s">
        <v>12</v>
      </c>
      <c r="C223" s="12">
        <v>51.3</v>
      </c>
      <c r="D223" s="12">
        <v>18.2</v>
      </c>
      <c r="E223" s="12">
        <v>197</v>
      </c>
      <c r="F223" s="12">
        <v>3750</v>
      </c>
      <c r="G223" s="12" t="s">
        <v>9</v>
      </c>
      <c r="H223" s="12" t="str">
        <f t="shared" si="19"/>
        <v>3750</v>
      </c>
      <c r="I223" s="12" t="str">
        <f t="shared" si="20"/>
        <v>No</v>
      </c>
      <c r="N223" s="12" t="str">
        <f t="shared" si="21"/>
        <v>Medium</v>
      </c>
      <c r="O223" s="12" t="str">
        <f t="shared" si="22"/>
        <v>Central</v>
      </c>
      <c r="P223" s="12">
        <f t="shared" si="23"/>
        <v>1</v>
      </c>
      <c r="Q223" s="12">
        <f t="shared" si="24"/>
        <v>1332.77</v>
      </c>
    </row>
    <row r="224" spans="1:17" x14ac:dyDescent="0.3">
      <c r="A224" s="12" t="s">
        <v>7</v>
      </c>
      <c r="B224" s="12" t="s">
        <v>11</v>
      </c>
      <c r="C224" s="12">
        <v>35</v>
      </c>
      <c r="D224" s="12">
        <v>17.899999999999999</v>
      </c>
      <c r="E224" s="12">
        <v>192</v>
      </c>
      <c r="F224" s="12">
        <v>3725</v>
      </c>
      <c r="G224" s="12" t="s">
        <v>10</v>
      </c>
      <c r="H224" s="12" t="str">
        <f t="shared" si="19"/>
        <v>3812.5</v>
      </c>
      <c r="I224" s="12" t="str">
        <f t="shared" si="20"/>
        <v>No</v>
      </c>
      <c r="N224" s="12" t="str">
        <f t="shared" si="21"/>
        <v>Small</v>
      </c>
      <c r="O224" s="12" t="str">
        <f t="shared" si="22"/>
        <v>West</v>
      </c>
      <c r="P224" s="12">
        <f t="shared" si="23"/>
        <v>1</v>
      </c>
      <c r="Q224" s="12">
        <f t="shared" si="24"/>
        <v>1317.33</v>
      </c>
    </row>
    <row r="225" spans="1:17" x14ac:dyDescent="0.3">
      <c r="A225" s="12" t="s">
        <v>7</v>
      </c>
      <c r="B225" s="12" t="s">
        <v>12</v>
      </c>
      <c r="C225" s="12">
        <v>40.700000000000003</v>
      </c>
      <c r="D225" s="12">
        <v>17</v>
      </c>
      <c r="E225" s="12">
        <v>190</v>
      </c>
      <c r="F225" s="12">
        <v>3725</v>
      </c>
      <c r="G225" s="12" t="s">
        <v>9</v>
      </c>
      <c r="H225" s="12" t="str">
        <f t="shared" si="19"/>
        <v>3812.5</v>
      </c>
      <c r="I225" s="12" t="str">
        <f t="shared" si="20"/>
        <v>No</v>
      </c>
      <c r="N225" s="12" t="str">
        <f t="shared" si="21"/>
        <v>Small</v>
      </c>
      <c r="O225" s="12" t="str">
        <f t="shared" si="22"/>
        <v>Central</v>
      </c>
      <c r="P225" s="12">
        <f t="shared" si="23"/>
        <v>1</v>
      </c>
      <c r="Q225" s="12">
        <f t="shared" si="24"/>
        <v>1318.57</v>
      </c>
    </row>
    <row r="226" spans="1:17" x14ac:dyDescent="0.3">
      <c r="A226" s="12" t="s">
        <v>13</v>
      </c>
      <c r="B226" s="12" t="s">
        <v>12</v>
      </c>
      <c r="C226" s="12">
        <v>52.7</v>
      </c>
      <c r="D226" s="12">
        <v>19.8</v>
      </c>
      <c r="E226" s="12">
        <v>197</v>
      </c>
      <c r="F226" s="12">
        <v>3725</v>
      </c>
      <c r="G226" s="12" t="s">
        <v>9</v>
      </c>
      <c r="H226" s="12" t="str">
        <f t="shared" si="19"/>
        <v>3750</v>
      </c>
      <c r="I226" s="12" t="str">
        <f t="shared" si="20"/>
        <v>No</v>
      </c>
      <c r="N226" s="12" t="str">
        <f t="shared" si="21"/>
        <v>Medium</v>
      </c>
      <c r="O226" s="12" t="str">
        <f t="shared" si="22"/>
        <v>Central</v>
      </c>
      <c r="P226" s="12">
        <f t="shared" si="23"/>
        <v>1</v>
      </c>
      <c r="Q226" s="12">
        <f t="shared" si="24"/>
        <v>1324.9</v>
      </c>
    </row>
    <row r="227" spans="1:17" x14ac:dyDescent="0.3">
      <c r="A227" s="12" t="s">
        <v>7</v>
      </c>
      <c r="B227" s="12" t="s">
        <v>8</v>
      </c>
      <c r="C227" s="12">
        <v>37.799999999999997</v>
      </c>
      <c r="D227" s="12">
        <v>17.3</v>
      </c>
      <c r="E227" s="12">
        <v>180</v>
      </c>
      <c r="F227" s="12">
        <v>3700</v>
      </c>
      <c r="H227" s="12" t="str">
        <f t="shared" si="19"/>
        <v>3812.5</v>
      </c>
      <c r="I227" s="12" t="str">
        <f t="shared" si="20"/>
        <v>No</v>
      </c>
      <c r="N227" s="12" t="str">
        <f t="shared" si="21"/>
        <v>Small</v>
      </c>
      <c r="O227" s="12" t="str">
        <f t="shared" si="22"/>
        <v>East</v>
      </c>
      <c r="P227" s="12">
        <f t="shared" si="23"/>
        <v>1</v>
      </c>
      <c r="Q227" s="12">
        <f t="shared" si="24"/>
        <v>1305.93</v>
      </c>
    </row>
    <row r="228" spans="1:17" x14ac:dyDescent="0.3">
      <c r="A228" s="12" t="s">
        <v>7</v>
      </c>
      <c r="B228" s="12" t="s">
        <v>8</v>
      </c>
      <c r="C228" s="12">
        <v>36.6</v>
      </c>
      <c r="D228" s="12">
        <v>17.8</v>
      </c>
      <c r="E228" s="12">
        <v>185</v>
      </c>
      <c r="F228" s="12">
        <v>3700</v>
      </c>
      <c r="G228" s="12" t="s">
        <v>10</v>
      </c>
      <c r="H228" s="12" t="str">
        <f t="shared" si="19"/>
        <v>3812.5</v>
      </c>
      <c r="I228" s="12" t="str">
        <f t="shared" si="20"/>
        <v>No</v>
      </c>
      <c r="N228" s="12" t="str">
        <f t="shared" si="21"/>
        <v>Small</v>
      </c>
      <c r="O228" s="12" t="str">
        <f t="shared" si="22"/>
        <v>East</v>
      </c>
      <c r="P228" s="12">
        <f t="shared" si="23"/>
        <v>1</v>
      </c>
      <c r="Q228" s="12">
        <f t="shared" si="24"/>
        <v>1307.2</v>
      </c>
    </row>
    <row r="229" spans="1:17" x14ac:dyDescent="0.3">
      <c r="A229" s="12" t="s">
        <v>7</v>
      </c>
      <c r="B229" s="12" t="s">
        <v>11</v>
      </c>
      <c r="C229" s="12">
        <v>41.4</v>
      </c>
      <c r="D229" s="12">
        <v>18.600000000000001</v>
      </c>
      <c r="E229" s="12">
        <v>191</v>
      </c>
      <c r="F229" s="12">
        <v>3700</v>
      </c>
      <c r="G229" s="12" t="s">
        <v>9</v>
      </c>
      <c r="H229" s="12" t="str">
        <f t="shared" si="19"/>
        <v>3812.5</v>
      </c>
      <c r="I229" s="12" t="str">
        <f t="shared" si="20"/>
        <v>No</v>
      </c>
      <c r="N229" s="12" t="str">
        <f t="shared" si="21"/>
        <v>Small</v>
      </c>
      <c r="O229" s="12" t="str">
        <f t="shared" si="22"/>
        <v>West</v>
      </c>
      <c r="P229" s="12">
        <f t="shared" si="23"/>
        <v>1</v>
      </c>
      <c r="Q229" s="12">
        <f t="shared" si="24"/>
        <v>1310.8</v>
      </c>
    </row>
    <row r="230" spans="1:17" x14ac:dyDescent="0.3">
      <c r="A230" s="12" t="s">
        <v>7</v>
      </c>
      <c r="B230" s="12" t="s">
        <v>8</v>
      </c>
      <c r="C230" s="12">
        <v>35.5</v>
      </c>
      <c r="D230" s="12">
        <v>17.5</v>
      </c>
      <c r="E230" s="12">
        <v>190</v>
      </c>
      <c r="F230" s="12">
        <v>3700</v>
      </c>
      <c r="G230" s="12" t="s">
        <v>10</v>
      </c>
      <c r="H230" s="12" t="str">
        <f t="shared" si="19"/>
        <v>3812.5</v>
      </c>
      <c r="I230" s="12" t="str">
        <f t="shared" si="20"/>
        <v>No</v>
      </c>
      <c r="N230" s="12" t="str">
        <f t="shared" si="21"/>
        <v>Small</v>
      </c>
      <c r="O230" s="12" t="str">
        <f t="shared" si="22"/>
        <v>East</v>
      </c>
      <c r="P230" s="12">
        <f t="shared" si="23"/>
        <v>1</v>
      </c>
      <c r="Q230" s="12">
        <f t="shared" si="24"/>
        <v>1308.5</v>
      </c>
    </row>
    <row r="231" spans="1:17" x14ac:dyDescent="0.3">
      <c r="A231" s="12" t="s">
        <v>7</v>
      </c>
      <c r="B231" s="12" t="s">
        <v>8</v>
      </c>
      <c r="C231" s="12">
        <v>40.9</v>
      </c>
      <c r="D231" s="12">
        <v>16.8</v>
      </c>
      <c r="E231" s="12">
        <v>191</v>
      </c>
      <c r="F231" s="12">
        <v>3700</v>
      </c>
      <c r="G231" s="12" t="s">
        <v>10</v>
      </c>
      <c r="H231" s="12" t="str">
        <f t="shared" si="19"/>
        <v>3812.5</v>
      </c>
      <c r="I231" s="12" t="str">
        <f t="shared" si="20"/>
        <v>No</v>
      </c>
      <c r="N231" s="12" t="str">
        <f t="shared" si="21"/>
        <v>Small</v>
      </c>
      <c r="O231" s="12" t="str">
        <f t="shared" si="22"/>
        <v>East</v>
      </c>
      <c r="P231" s="12">
        <f t="shared" si="23"/>
        <v>1</v>
      </c>
      <c r="Q231" s="12">
        <f t="shared" si="24"/>
        <v>1310.6300000000001</v>
      </c>
    </row>
    <row r="232" spans="1:17" x14ac:dyDescent="0.3">
      <c r="A232" s="12" t="s">
        <v>7</v>
      </c>
      <c r="B232" s="12" t="s">
        <v>12</v>
      </c>
      <c r="C232" s="12">
        <v>38.1</v>
      </c>
      <c r="D232" s="12">
        <v>18.600000000000001</v>
      </c>
      <c r="E232" s="12">
        <v>190</v>
      </c>
      <c r="F232" s="12">
        <v>3700</v>
      </c>
      <c r="G232" s="12" t="s">
        <v>10</v>
      </c>
      <c r="H232" s="12" t="str">
        <f t="shared" si="19"/>
        <v>3812.5</v>
      </c>
      <c r="I232" s="12" t="str">
        <f t="shared" si="20"/>
        <v>No</v>
      </c>
      <c r="N232" s="12" t="str">
        <f t="shared" si="21"/>
        <v>Small</v>
      </c>
      <c r="O232" s="12" t="str">
        <f t="shared" si="22"/>
        <v>Central</v>
      </c>
      <c r="P232" s="12">
        <f t="shared" si="23"/>
        <v>1</v>
      </c>
      <c r="Q232" s="12">
        <f t="shared" si="24"/>
        <v>1309.3699999999999</v>
      </c>
    </row>
    <row r="233" spans="1:17" x14ac:dyDescent="0.3">
      <c r="A233" s="12" t="s">
        <v>7</v>
      </c>
      <c r="B233" s="12" t="s">
        <v>12</v>
      </c>
      <c r="C233" s="12">
        <v>36</v>
      </c>
      <c r="D233" s="12">
        <v>17.100000000000001</v>
      </c>
      <c r="E233" s="12">
        <v>187</v>
      </c>
      <c r="F233" s="12">
        <v>3700</v>
      </c>
      <c r="G233" s="12" t="s">
        <v>10</v>
      </c>
      <c r="H233" s="12" t="str">
        <f t="shared" si="19"/>
        <v>3812.5</v>
      </c>
      <c r="I233" s="12" t="str">
        <f t="shared" si="20"/>
        <v>No</v>
      </c>
      <c r="N233" s="12" t="str">
        <f t="shared" si="21"/>
        <v>Small</v>
      </c>
      <c r="O233" s="12" t="str">
        <f t="shared" si="22"/>
        <v>Central</v>
      </c>
      <c r="P233" s="12">
        <f t="shared" si="23"/>
        <v>1</v>
      </c>
      <c r="Q233" s="12">
        <f t="shared" si="24"/>
        <v>1307.67</v>
      </c>
    </row>
    <row r="234" spans="1:17" x14ac:dyDescent="0.3">
      <c r="A234" s="12" t="s">
        <v>13</v>
      </c>
      <c r="B234" s="12" t="s">
        <v>12</v>
      </c>
      <c r="C234" s="12">
        <v>51.3</v>
      </c>
      <c r="D234" s="12">
        <v>19.899999999999999</v>
      </c>
      <c r="E234" s="12">
        <v>198</v>
      </c>
      <c r="F234" s="12">
        <v>3700</v>
      </c>
      <c r="G234" s="12" t="s">
        <v>9</v>
      </c>
      <c r="H234" s="12" t="str">
        <f t="shared" si="19"/>
        <v>3750</v>
      </c>
      <c r="I234" s="12" t="str">
        <f t="shared" si="20"/>
        <v>No</v>
      </c>
      <c r="N234" s="12" t="str">
        <f t="shared" si="21"/>
        <v>Medium</v>
      </c>
      <c r="O234" s="12" t="str">
        <f t="shared" si="22"/>
        <v>Central</v>
      </c>
      <c r="P234" s="12">
        <f t="shared" si="23"/>
        <v>1</v>
      </c>
      <c r="Q234" s="12">
        <f t="shared" si="24"/>
        <v>1316.43</v>
      </c>
    </row>
    <row r="235" spans="1:17" x14ac:dyDescent="0.3">
      <c r="A235" s="12" t="s">
        <v>13</v>
      </c>
      <c r="B235" s="12" t="s">
        <v>12</v>
      </c>
      <c r="C235" s="12">
        <v>47</v>
      </c>
      <c r="D235" s="12">
        <v>17.3</v>
      </c>
      <c r="E235" s="12">
        <v>185</v>
      </c>
      <c r="F235" s="12">
        <v>3700</v>
      </c>
      <c r="G235" s="12" t="s">
        <v>10</v>
      </c>
      <c r="H235" s="12" t="str">
        <f t="shared" si="19"/>
        <v>3750</v>
      </c>
      <c r="I235" s="12" t="str">
        <f t="shared" si="20"/>
        <v>No</v>
      </c>
      <c r="N235" s="12" t="str">
        <f t="shared" si="21"/>
        <v>Medium</v>
      </c>
      <c r="O235" s="12" t="str">
        <f t="shared" si="22"/>
        <v>Central</v>
      </c>
      <c r="P235" s="12">
        <f t="shared" si="23"/>
        <v>1</v>
      </c>
      <c r="Q235" s="12">
        <f t="shared" si="24"/>
        <v>1310.67</v>
      </c>
    </row>
    <row r="236" spans="1:17" x14ac:dyDescent="0.3">
      <c r="A236" s="12" t="s">
        <v>13</v>
      </c>
      <c r="B236" s="12" t="s">
        <v>12</v>
      </c>
      <c r="C236" s="12">
        <v>58</v>
      </c>
      <c r="D236" s="12">
        <v>17.8</v>
      </c>
      <c r="E236" s="12">
        <v>181</v>
      </c>
      <c r="F236" s="12">
        <v>3700</v>
      </c>
      <c r="G236" s="12" t="s">
        <v>10</v>
      </c>
      <c r="H236" s="12" t="str">
        <f t="shared" si="19"/>
        <v>3750</v>
      </c>
      <c r="I236" s="12" t="str">
        <f t="shared" si="20"/>
        <v>No</v>
      </c>
      <c r="N236" s="12" t="str">
        <f t="shared" si="21"/>
        <v>Medium</v>
      </c>
      <c r="O236" s="12" t="str">
        <f t="shared" si="22"/>
        <v>Central</v>
      </c>
      <c r="P236" s="12">
        <f t="shared" si="23"/>
        <v>1</v>
      </c>
      <c r="Q236" s="12">
        <f t="shared" si="24"/>
        <v>1313</v>
      </c>
    </row>
    <row r="237" spans="1:17" x14ac:dyDescent="0.3">
      <c r="A237" s="12" t="s">
        <v>13</v>
      </c>
      <c r="B237" s="12" t="s">
        <v>12</v>
      </c>
      <c r="C237" s="12">
        <v>46.4</v>
      </c>
      <c r="D237" s="12">
        <v>17.8</v>
      </c>
      <c r="E237" s="12">
        <v>191</v>
      </c>
      <c r="F237" s="12">
        <v>3700</v>
      </c>
      <c r="G237" s="12" t="s">
        <v>10</v>
      </c>
      <c r="H237" s="12" t="str">
        <f t="shared" si="19"/>
        <v>3750</v>
      </c>
      <c r="I237" s="12" t="str">
        <f t="shared" si="20"/>
        <v>No</v>
      </c>
      <c r="N237" s="12" t="str">
        <f t="shared" si="21"/>
        <v>Medium</v>
      </c>
      <c r="O237" s="12" t="str">
        <f t="shared" si="22"/>
        <v>Central</v>
      </c>
      <c r="P237" s="12">
        <f t="shared" si="23"/>
        <v>1</v>
      </c>
      <c r="Q237" s="12">
        <f t="shared" si="24"/>
        <v>1312.47</v>
      </c>
    </row>
    <row r="238" spans="1:17" x14ac:dyDescent="0.3">
      <c r="A238" s="12" t="s">
        <v>13</v>
      </c>
      <c r="B238" s="12" t="s">
        <v>12</v>
      </c>
      <c r="C238" s="12">
        <v>50.9</v>
      </c>
      <c r="D238" s="12">
        <v>17.899999999999999</v>
      </c>
      <c r="E238" s="12">
        <v>196</v>
      </c>
      <c r="F238" s="12">
        <v>3675</v>
      </c>
      <c r="G238" s="12" t="s">
        <v>10</v>
      </c>
      <c r="H238" s="12" t="str">
        <f t="shared" si="19"/>
        <v>3750</v>
      </c>
      <c r="I238" s="12" t="str">
        <f t="shared" si="20"/>
        <v>No</v>
      </c>
      <c r="N238" s="12" t="str">
        <f t="shared" si="21"/>
        <v>Medium</v>
      </c>
      <c r="O238" s="12" t="str">
        <f t="shared" si="22"/>
        <v>Central</v>
      </c>
      <c r="P238" s="12">
        <f t="shared" si="23"/>
        <v>1</v>
      </c>
      <c r="Q238" s="12">
        <f t="shared" si="24"/>
        <v>1307.3</v>
      </c>
    </row>
    <row r="239" spans="1:17" x14ac:dyDescent="0.3">
      <c r="A239" s="12" t="s">
        <v>13</v>
      </c>
      <c r="B239" s="12" t="s">
        <v>12</v>
      </c>
      <c r="C239" s="12">
        <v>49.8</v>
      </c>
      <c r="D239" s="12">
        <v>17.3</v>
      </c>
      <c r="E239" s="12">
        <v>198</v>
      </c>
      <c r="F239" s="12">
        <v>3675</v>
      </c>
      <c r="G239" s="12" t="s">
        <v>10</v>
      </c>
      <c r="H239" s="12" t="str">
        <f t="shared" si="19"/>
        <v>3750</v>
      </c>
      <c r="I239" s="12" t="str">
        <f t="shared" si="20"/>
        <v>No</v>
      </c>
      <c r="N239" s="12" t="str">
        <f t="shared" si="21"/>
        <v>Medium</v>
      </c>
      <c r="O239" s="12" t="str">
        <f t="shared" si="22"/>
        <v>Central</v>
      </c>
      <c r="P239" s="12">
        <f t="shared" si="23"/>
        <v>1</v>
      </c>
      <c r="Q239" s="12">
        <f t="shared" si="24"/>
        <v>1307.5999999999999</v>
      </c>
    </row>
    <row r="240" spans="1:17" x14ac:dyDescent="0.3">
      <c r="A240" s="12" t="s">
        <v>7</v>
      </c>
      <c r="B240" s="12" t="s">
        <v>8</v>
      </c>
      <c r="C240" s="12">
        <v>39.299999999999997</v>
      </c>
      <c r="D240" s="12">
        <v>20.6</v>
      </c>
      <c r="E240" s="12">
        <v>190</v>
      </c>
      <c r="F240" s="12">
        <v>3650</v>
      </c>
      <c r="G240" s="12" t="s">
        <v>9</v>
      </c>
      <c r="H240" s="12" t="str">
        <f t="shared" si="19"/>
        <v>3812.5</v>
      </c>
      <c r="I240" s="12" t="str">
        <f t="shared" si="20"/>
        <v>No</v>
      </c>
      <c r="N240" s="12" t="str">
        <f t="shared" si="21"/>
        <v>Small</v>
      </c>
      <c r="O240" s="12" t="str">
        <f t="shared" si="22"/>
        <v>East</v>
      </c>
      <c r="P240" s="12">
        <f t="shared" si="23"/>
        <v>1</v>
      </c>
      <c r="Q240" s="12">
        <f t="shared" si="24"/>
        <v>1293.0999999999999</v>
      </c>
    </row>
    <row r="241" spans="1:17" x14ac:dyDescent="0.3">
      <c r="A241" s="12" t="s">
        <v>7</v>
      </c>
      <c r="B241" s="12" t="s">
        <v>12</v>
      </c>
      <c r="C241" s="12">
        <v>39</v>
      </c>
      <c r="D241" s="12">
        <v>18.7</v>
      </c>
      <c r="E241" s="12">
        <v>185</v>
      </c>
      <c r="F241" s="12">
        <v>3650</v>
      </c>
      <c r="G241" s="12" t="s">
        <v>9</v>
      </c>
      <c r="H241" s="12" t="str">
        <f t="shared" si="19"/>
        <v>3812.5</v>
      </c>
      <c r="I241" s="12" t="str">
        <f t="shared" si="20"/>
        <v>No</v>
      </c>
      <c r="N241" s="12" t="str">
        <f t="shared" si="21"/>
        <v>Small</v>
      </c>
      <c r="O241" s="12" t="str">
        <f t="shared" si="22"/>
        <v>Central</v>
      </c>
      <c r="P241" s="12">
        <f t="shared" si="23"/>
        <v>1</v>
      </c>
      <c r="Q241" s="12">
        <f t="shared" si="24"/>
        <v>1291.33</v>
      </c>
    </row>
    <row r="242" spans="1:17" x14ac:dyDescent="0.3">
      <c r="A242" s="12" t="s">
        <v>13</v>
      </c>
      <c r="B242" s="12" t="s">
        <v>12</v>
      </c>
      <c r="C242" s="12">
        <v>51.3</v>
      </c>
      <c r="D242" s="12">
        <v>19.2</v>
      </c>
      <c r="E242" s="12">
        <v>193</v>
      </c>
      <c r="F242" s="12">
        <v>3650</v>
      </c>
      <c r="G242" s="12" t="s">
        <v>9</v>
      </c>
      <c r="H242" s="12" t="str">
        <f t="shared" si="19"/>
        <v>3750</v>
      </c>
      <c r="I242" s="12" t="str">
        <f t="shared" si="20"/>
        <v>No</v>
      </c>
      <c r="N242" s="12" t="str">
        <f t="shared" si="21"/>
        <v>Medium</v>
      </c>
      <c r="O242" s="12" t="str">
        <f t="shared" si="22"/>
        <v>Central</v>
      </c>
      <c r="P242" s="12">
        <f t="shared" si="23"/>
        <v>1</v>
      </c>
      <c r="Q242" s="12">
        <f t="shared" si="24"/>
        <v>1298.0999999999999</v>
      </c>
    </row>
    <row r="243" spans="1:17" x14ac:dyDescent="0.3">
      <c r="A243" s="12" t="s">
        <v>13</v>
      </c>
      <c r="B243" s="12" t="s">
        <v>12</v>
      </c>
      <c r="C243" s="12">
        <v>46.2</v>
      </c>
      <c r="D243" s="12">
        <v>17.5</v>
      </c>
      <c r="E243" s="12">
        <v>187</v>
      </c>
      <c r="F243" s="12">
        <v>3650</v>
      </c>
      <c r="G243" s="12" t="s">
        <v>10</v>
      </c>
      <c r="H243" s="12" t="str">
        <f t="shared" si="19"/>
        <v>3750</v>
      </c>
      <c r="I243" s="12" t="str">
        <f t="shared" si="20"/>
        <v>No</v>
      </c>
      <c r="N243" s="12" t="str">
        <f t="shared" si="21"/>
        <v>Medium</v>
      </c>
      <c r="O243" s="12" t="str">
        <f t="shared" si="22"/>
        <v>Central</v>
      </c>
      <c r="P243" s="12">
        <f t="shared" si="23"/>
        <v>1</v>
      </c>
      <c r="Q243" s="12">
        <f t="shared" si="24"/>
        <v>1294.4000000000001</v>
      </c>
    </row>
    <row r="244" spans="1:17" x14ac:dyDescent="0.3">
      <c r="A244" s="12" t="s">
        <v>13</v>
      </c>
      <c r="B244" s="12" t="s">
        <v>12</v>
      </c>
      <c r="C244" s="12">
        <v>46.8</v>
      </c>
      <c r="D244" s="12">
        <v>16.5</v>
      </c>
      <c r="E244" s="12">
        <v>189</v>
      </c>
      <c r="F244" s="12">
        <v>3650</v>
      </c>
      <c r="G244" s="12" t="s">
        <v>10</v>
      </c>
      <c r="H244" s="12" t="str">
        <f t="shared" si="19"/>
        <v>3750</v>
      </c>
      <c r="I244" s="12" t="str">
        <f t="shared" si="20"/>
        <v>No</v>
      </c>
      <c r="N244" s="12" t="str">
        <f t="shared" si="21"/>
        <v>Medium</v>
      </c>
      <c r="O244" s="12" t="str">
        <f t="shared" si="22"/>
        <v>Central</v>
      </c>
      <c r="P244" s="12">
        <f t="shared" si="23"/>
        <v>1</v>
      </c>
      <c r="Q244" s="12">
        <f t="shared" si="24"/>
        <v>1295.27</v>
      </c>
    </row>
    <row r="245" spans="1:17" x14ac:dyDescent="0.3">
      <c r="A245" s="12" t="s">
        <v>13</v>
      </c>
      <c r="B245" s="12" t="s">
        <v>12</v>
      </c>
      <c r="C245" s="12">
        <v>45.7</v>
      </c>
      <c r="D245" s="12">
        <v>17</v>
      </c>
      <c r="E245" s="12">
        <v>195</v>
      </c>
      <c r="F245" s="12">
        <v>3650</v>
      </c>
      <c r="G245" s="12" t="s">
        <v>10</v>
      </c>
      <c r="H245" s="12" t="str">
        <f t="shared" si="19"/>
        <v>3750</v>
      </c>
      <c r="I245" s="12" t="str">
        <f t="shared" si="20"/>
        <v>No</v>
      </c>
      <c r="N245" s="12" t="str">
        <f t="shared" si="21"/>
        <v>Medium</v>
      </c>
      <c r="O245" s="12" t="str">
        <f t="shared" si="22"/>
        <v>Central</v>
      </c>
      <c r="P245" s="12">
        <f t="shared" si="23"/>
        <v>1</v>
      </c>
      <c r="Q245" s="12">
        <f t="shared" si="24"/>
        <v>1296.9000000000001</v>
      </c>
    </row>
    <row r="246" spans="1:17" x14ac:dyDescent="0.3">
      <c r="A246" s="12" t="s">
        <v>7</v>
      </c>
      <c r="B246" s="12" t="s">
        <v>8</v>
      </c>
      <c r="C246" s="12">
        <v>38.9</v>
      </c>
      <c r="D246" s="12">
        <v>17.8</v>
      </c>
      <c r="E246" s="12">
        <v>181</v>
      </c>
      <c r="F246" s="12">
        <v>3625</v>
      </c>
      <c r="G246" s="12" t="s">
        <v>10</v>
      </c>
      <c r="H246" s="12" t="str">
        <f t="shared" si="19"/>
        <v>3812.5</v>
      </c>
      <c r="I246" s="12" t="str">
        <f t="shared" si="20"/>
        <v>No</v>
      </c>
      <c r="N246" s="12" t="str">
        <f t="shared" si="21"/>
        <v>Small</v>
      </c>
      <c r="O246" s="12" t="str">
        <f t="shared" si="22"/>
        <v>East</v>
      </c>
      <c r="P246" s="12">
        <f t="shared" si="23"/>
        <v>1</v>
      </c>
      <c r="Q246" s="12">
        <f t="shared" si="24"/>
        <v>1281.6300000000001</v>
      </c>
    </row>
    <row r="247" spans="1:17" x14ac:dyDescent="0.3">
      <c r="A247" s="12" t="s">
        <v>7</v>
      </c>
      <c r="B247" s="12" t="s">
        <v>11</v>
      </c>
      <c r="C247" s="12">
        <v>37.700000000000003</v>
      </c>
      <c r="D247" s="12">
        <v>18.7</v>
      </c>
      <c r="E247" s="12">
        <v>180</v>
      </c>
      <c r="F247" s="12">
        <v>3600</v>
      </c>
      <c r="G247" s="12" t="s">
        <v>9</v>
      </c>
      <c r="H247" s="12" t="str">
        <f t="shared" si="19"/>
        <v>3812.5</v>
      </c>
      <c r="I247" s="12" t="str">
        <f t="shared" si="20"/>
        <v>No</v>
      </c>
      <c r="N247" s="12" t="str">
        <f t="shared" si="21"/>
        <v>Small</v>
      </c>
      <c r="O247" s="12" t="str">
        <f t="shared" si="22"/>
        <v>West</v>
      </c>
      <c r="P247" s="12">
        <f t="shared" si="23"/>
        <v>1</v>
      </c>
      <c r="Q247" s="12">
        <f t="shared" si="24"/>
        <v>1272.57</v>
      </c>
    </row>
    <row r="248" spans="1:17" x14ac:dyDescent="0.3">
      <c r="A248" s="12" t="s">
        <v>7</v>
      </c>
      <c r="B248" s="12" t="s">
        <v>11</v>
      </c>
      <c r="C248" s="12">
        <v>37.6</v>
      </c>
      <c r="D248" s="12">
        <v>17</v>
      </c>
      <c r="E248" s="12">
        <v>185</v>
      </c>
      <c r="F248" s="12">
        <v>3600</v>
      </c>
      <c r="G248" s="12" t="s">
        <v>10</v>
      </c>
      <c r="H248" s="12" t="str">
        <f t="shared" si="19"/>
        <v>3812.5</v>
      </c>
      <c r="I248" s="12" t="str">
        <f t="shared" si="20"/>
        <v>No</v>
      </c>
      <c r="N248" s="12" t="str">
        <f t="shared" si="21"/>
        <v>Small</v>
      </c>
      <c r="O248" s="12" t="str">
        <f t="shared" si="22"/>
        <v>West</v>
      </c>
      <c r="P248" s="12">
        <f t="shared" si="23"/>
        <v>1</v>
      </c>
      <c r="Q248" s="12">
        <f t="shared" si="24"/>
        <v>1274.2</v>
      </c>
    </row>
    <row r="249" spans="1:17" x14ac:dyDescent="0.3">
      <c r="A249" s="12" t="s">
        <v>7</v>
      </c>
      <c r="B249" s="12" t="s">
        <v>8</v>
      </c>
      <c r="C249" s="12">
        <v>33.5</v>
      </c>
      <c r="D249" s="12">
        <v>19</v>
      </c>
      <c r="E249" s="12">
        <v>190</v>
      </c>
      <c r="F249" s="12">
        <v>3600</v>
      </c>
      <c r="G249" s="12" t="s">
        <v>10</v>
      </c>
      <c r="H249" s="12" t="str">
        <f t="shared" si="19"/>
        <v>3812.5</v>
      </c>
      <c r="I249" s="12" t="str">
        <f t="shared" si="20"/>
        <v>No</v>
      </c>
      <c r="N249" s="12" t="str">
        <f t="shared" si="21"/>
        <v>Small</v>
      </c>
      <c r="O249" s="12" t="str">
        <f t="shared" si="22"/>
        <v>East</v>
      </c>
      <c r="P249" s="12">
        <f t="shared" si="23"/>
        <v>1</v>
      </c>
      <c r="Q249" s="12">
        <f t="shared" si="24"/>
        <v>1274.5</v>
      </c>
    </row>
    <row r="250" spans="1:17" x14ac:dyDescent="0.3">
      <c r="A250" s="12" t="s">
        <v>7</v>
      </c>
      <c r="B250" s="12" t="s">
        <v>12</v>
      </c>
      <c r="C250" s="12">
        <v>38.9</v>
      </c>
      <c r="D250" s="12">
        <v>18.8</v>
      </c>
      <c r="E250" s="12">
        <v>190</v>
      </c>
      <c r="F250" s="12">
        <v>3600</v>
      </c>
      <c r="G250" s="12" t="s">
        <v>10</v>
      </c>
      <c r="H250" s="12" t="str">
        <f t="shared" si="19"/>
        <v>3812.5</v>
      </c>
      <c r="I250" s="12" t="str">
        <f t="shared" si="20"/>
        <v>No</v>
      </c>
      <c r="N250" s="12" t="str">
        <f t="shared" si="21"/>
        <v>Small</v>
      </c>
      <c r="O250" s="12" t="str">
        <f t="shared" si="22"/>
        <v>Central</v>
      </c>
      <c r="P250" s="12">
        <f t="shared" si="23"/>
        <v>1</v>
      </c>
      <c r="Q250" s="12">
        <f t="shared" si="24"/>
        <v>1276.3</v>
      </c>
    </row>
    <row r="251" spans="1:17" x14ac:dyDescent="0.3">
      <c r="A251" s="12" t="s">
        <v>13</v>
      </c>
      <c r="B251" s="12" t="s">
        <v>12</v>
      </c>
      <c r="C251" s="12">
        <v>42.4</v>
      </c>
      <c r="D251" s="12">
        <v>17.3</v>
      </c>
      <c r="E251" s="12">
        <v>181</v>
      </c>
      <c r="F251" s="12">
        <v>3600</v>
      </c>
      <c r="G251" s="12" t="s">
        <v>10</v>
      </c>
      <c r="H251" s="12" t="str">
        <f t="shared" si="19"/>
        <v>3750</v>
      </c>
      <c r="I251" s="12" t="str">
        <f t="shared" si="20"/>
        <v>No</v>
      </c>
      <c r="N251" s="12" t="str">
        <f t="shared" si="21"/>
        <v>Medium</v>
      </c>
      <c r="O251" s="12" t="str">
        <f t="shared" si="22"/>
        <v>Central</v>
      </c>
      <c r="P251" s="12">
        <f t="shared" si="23"/>
        <v>1</v>
      </c>
      <c r="Q251" s="12">
        <f t="shared" si="24"/>
        <v>1274.47</v>
      </c>
    </row>
    <row r="252" spans="1:17" x14ac:dyDescent="0.3">
      <c r="A252" s="12" t="s">
        <v>13</v>
      </c>
      <c r="B252" s="12" t="s">
        <v>12</v>
      </c>
      <c r="C252" s="12">
        <v>49.7</v>
      </c>
      <c r="D252" s="12">
        <v>18.600000000000001</v>
      </c>
      <c r="E252" s="12">
        <v>195</v>
      </c>
      <c r="F252" s="12">
        <v>3600</v>
      </c>
      <c r="G252" s="12" t="s">
        <v>9</v>
      </c>
      <c r="H252" s="12" t="str">
        <f t="shared" si="19"/>
        <v>3750</v>
      </c>
      <c r="I252" s="12" t="str">
        <f t="shared" si="20"/>
        <v>No</v>
      </c>
      <c r="N252" s="12" t="str">
        <f t="shared" si="21"/>
        <v>Medium</v>
      </c>
      <c r="O252" s="12" t="str">
        <f t="shared" si="22"/>
        <v>Central</v>
      </c>
      <c r="P252" s="12">
        <f t="shared" si="23"/>
        <v>1</v>
      </c>
      <c r="Q252" s="12">
        <f t="shared" si="24"/>
        <v>1281.57</v>
      </c>
    </row>
    <row r="253" spans="1:17" x14ac:dyDescent="0.3">
      <c r="A253" s="12" t="s">
        <v>13</v>
      </c>
      <c r="B253" s="12" t="s">
        <v>12</v>
      </c>
      <c r="C253" s="12">
        <v>45.7</v>
      </c>
      <c r="D253" s="12">
        <v>17.3</v>
      </c>
      <c r="E253" s="12">
        <v>193</v>
      </c>
      <c r="F253" s="12">
        <v>3600</v>
      </c>
      <c r="G253" s="12" t="s">
        <v>10</v>
      </c>
      <c r="H253" s="12" t="str">
        <f t="shared" si="19"/>
        <v>3750</v>
      </c>
      <c r="I253" s="12" t="str">
        <f t="shared" si="20"/>
        <v>No</v>
      </c>
      <c r="N253" s="12" t="str">
        <f t="shared" si="21"/>
        <v>Medium</v>
      </c>
      <c r="O253" s="12" t="str">
        <f t="shared" si="22"/>
        <v>Central</v>
      </c>
      <c r="P253" s="12">
        <f t="shared" si="23"/>
        <v>1</v>
      </c>
      <c r="Q253" s="12">
        <f t="shared" si="24"/>
        <v>1279.57</v>
      </c>
    </row>
    <row r="254" spans="1:17" x14ac:dyDescent="0.3">
      <c r="A254" s="12" t="s">
        <v>13</v>
      </c>
      <c r="B254" s="12" t="s">
        <v>12</v>
      </c>
      <c r="C254" s="12">
        <v>45.9</v>
      </c>
      <c r="D254" s="12">
        <v>17.100000000000001</v>
      </c>
      <c r="E254" s="12">
        <v>190</v>
      </c>
      <c r="F254" s="12">
        <v>3575</v>
      </c>
      <c r="G254" s="12" t="s">
        <v>10</v>
      </c>
      <c r="H254" s="12" t="str">
        <f t="shared" si="19"/>
        <v>3750</v>
      </c>
      <c r="I254" s="12" t="str">
        <f t="shared" si="20"/>
        <v>No</v>
      </c>
      <c r="N254" s="12" t="str">
        <f t="shared" si="21"/>
        <v>Medium</v>
      </c>
      <c r="O254" s="12" t="str">
        <f t="shared" si="22"/>
        <v>Central</v>
      </c>
      <c r="P254" s="12">
        <f t="shared" si="23"/>
        <v>1</v>
      </c>
      <c r="Q254" s="12">
        <f t="shared" si="24"/>
        <v>1270.3</v>
      </c>
    </row>
    <row r="255" spans="1:17" x14ac:dyDescent="0.3">
      <c r="A255" s="12" t="s">
        <v>7</v>
      </c>
      <c r="B255" s="12" t="s">
        <v>11</v>
      </c>
      <c r="C255" s="12">
        <v>40.6</v>
      </c>
      <c r="D255" s="12">
        <v>18.600000000000001</v>
      </c>
      <c r="E255" s="12">
        <v>183</v>
      </c>
      <c r="F255" s="12">
        <v>3550</v>
      </c>
      <c r="G255" s="12" t="s">
        <v>9</v>
      </c>
      <c r="H255" s="12" t="str">
        <f t="shared" si="19"/>
        <v>3812.5</v>
      </c>
      <c r="I255" s="12" t="str">
        <f t="shared" si="20"/>
        <v>No</v>
      </c>
      <c r="N255" s="12" t="str">
        <f t="shared" si="21"/>
        <v>Small</v>
      </c>
      <c r="O255" s="12" t="str">
        <f t="shared" si="22"/>
        <v>West</v>
      </c>
      <c r="P255" s="12">
        <f t="shared" si="23"/>
        <v>1</v>
      </c>
      <c r="Q255" s="12">
        <f t="shared" si="24"/>
        <v>1257.8699999999999</v>
      </c>
    </row>
    <row r="256" spans="1:17" x14ac:dyDescent="0.3">
      <c r="A256" s="12" t="s">
        <v>7</v>
      </c>
      <c r="B256" s="12" t="s">
        <v>12</v>
      </c>
      <c r="C256" s="12">
        <v>42.2</v>
      </c>
      <c r="D256" s="12">
        <v>18.5</v>
      </c>
      <c r="E256" s="12">
        <v>180</v>
      </c>
      <c r="F256" s="12">
        <v>3550</v>
      </c>
      <c r="G256" s="12" t="s">
        <v>10</v>
      </c>
      <c r="H256" s="12" t="str">
        <f t="shared" si="19"/>
        <v>3812.5</v>
      </c>
      <c r="I256" s="12" t="str">
        <f t="shared" si="20"/>
        <v>No</v>
      </c>
      <c r="N256" s="12" t="str">
        <f t="shared" si="21"/>
        <v>Small</v>
      </c>
      <c r="O256" s="12" t="str">
        <f t="shared" si="22"/>
        <v>Central</v>
      </c>
      <c r="P256" s="12">
        <f t="shared" si="23"/>
        <v>1</v>
      </c>
      <c r="Q256" s="12">
        <f t="shared" si="24"/>
        <v>1257.4000000000001</v>
      </c>
    </row>
    <row r="257" spans="1:17" x14ac:dyDescent="0.3">
      <c r="A257" s="12" t="s">
        <v>7</v>
      </c>
      <c r="B257" s="12" t="s">
        <v>11</v>
      </c>
      <c r="C257" s="12">
        <v>39</v>
      </c>
      <c r="D257" s="12">
        <v>17.5</v>
      </c>
      <c r="E257" s="12">
        <v>186</v>
      </c>
      <c r="F257" s="12">
        <v>3550</v>
      </c>
      <c r="G257" s="12" t="s">
        <v>10</v>
      </c>
      <c r="H257" s="12" t="str">
        <f t="shared" si="19"/>
        <v>3812.5</v>
      </c>
      <c r="I257" s="12" t="str">
        <f t="shared" si="20"/>
        <v>No</v>
      </c>
      <c r="N257" s="12" t="str">
        <f t="shared" si="21"/>
        <v>Small</v>
      </c>
      <c r="O257" s="12" t="str">
        <f t="shared" si="22"/>
        <v>West</v>
      </c>
      <c r="P257" s="12">
        <f t="shared" si="23"/>
        <v>1</v>
      </c>
      <c r="Q257" s="12">
        <f t="shared" si="24"/>
        <v>1258.33</v>
      </c>
    </row>
    <row r="258" spans="1:17" x14ac:dyDescent="0.3">
      <c r="A258" s="12" t="s">
        <v>7</v>
      </c>
      <c r="B258" s="12" t="s">
        <v>8</v>
      </c>
      <c r="C258" s="12">
        <v>39.6</v>
      </c>
      <c r="D258" s="12">
        <v>17.2</v>
      </c>
      <c r="E258" s="12">
        <v>196</v>
      </c>
      <c r="F258" s="12">
        <v>3550</v>
      </c>
      <c r="G258" s="12" t="s">
        <v>10</v>
      </c>
      <c r="H258" s="12" t="str">
        <f t="shared" ref="H258:H321" si="25">IF(AND(A258="Gentoo"),"5125",IF(AND(A258="Chinstrap"),"3750",IF(AND(A258="Adelie"),"3812.5")))</f>
        <v>3812.5</v>
      </c>
      <c r="I258" s="12" t="str">
        <f t="shared" ref="I258:I321" si="26">IF(AND(A258="Gentoo",F258&gt;5125),"Yes",
   IF(AND(A258="Chinstrap",F258&gt;3750),"Yes",
   IF(AND(A258="Adelie",F258&gt;3812.5),"Yes","No")))</f>
        <v>No</v>
      </c>
      <c r="N258" s="12" t="str">
        <f t="shared" ref="N258:N321" si="27">VLOOKUP(A258,$J$2:$K$4,2,FALSE)</f>
        <v>Small</v>
      </c>
      <c r="O258" s="12" t="str">
        <f t="shared" ref="O258:O321" si="28">VLOOKUP(B258,$L$2:$M$4,2,FALSE)</f>
        <v>East</v>
      </c>
      <c r="P258" s="12">
        <f t="shared" ref="P258:P321" si="29">IF(F258&gt;5000,3,IF(F258&gt;4000,2,1))</f>
        <v>1</v>
      </c>
      <c r="Q258" s="12">
        <f t="shared" ref="Q258:Q321" si="30">ROUND((F258+E258+C258)/3,2)</f>
        <v>1261.8699999999999</v>
      </c>
    </row>
    <row r="259" spans="1:17" x14ac:dyDescent="0.3">
      <c r="A259" s="12" t="s">
        <v>7</v>
      </c>
      <c r="B259" s="12" t="s">
        <v>8</v>
      </c>
      <c r="C259" s="12">
        <v>36.200000000000003</v>
      </c>
      <c r="D259" s="12">
        <v>16.100000000000001</v>
      </c>
      <c r="E259" s="12">
        <v>187</v>
      </c>
      <c r="F259" s="12">
        <v>3550</v>
      </c>
      <c r="G259" s="12" t="s">
        <v>10</v>
      </c>
      <c r="H259" s="12" t="str">
        <f t="shared" si="25"/>
        <v>3812.5</v>
      </c>
      <c r="I259" s="12" t="str">
        <f t="shared" si="26"/>
        <v>No</v>
      </c>
      <c r="N259" s="12" t="str">
        <f t="shared" si="27"/>
        <v>Small</v>
      </c>
      <c r="O259" s="12" t="str">
        <f t="shared" si="28"/>
        <v>East</v>
      </c>
      <c r="P259" s="12">
        <f t="shared" si="29"/>
        <v>1</v>
      </c>
      <c r="Q259" s="12">
        <f t="shared" si="30"/>
        <v>1257.73</v>
      </c>
    </row>
    <row r="260" spans="1:17" x14ac:dyDescent="0.3">
      <c r="A260" s="12" t="s">
        <v>7</v>
      </c>
      <c r="B260" s="12" t="s">
        <v>12</v>
      </c>
      <c r="C260" s="12">
        <v>41.3</v>
      </c>
      <c r="D260" s="12">
        <v>20.3</v>
      </c>
      <c r="E260" s="12">
        <v>194</v>
      </c>
      <c r="F260" s="12">
        <v>3550</v>
      </c>
      <c r="G260" s="12" t="s">
        <v>9</v>
      </c>
      <c r="H260" s="12" t="str">
        <f t="shared" si="25"/>
        <v>3812.5</v>
      </c>
      <c r="I260" s="12" t="str">
        <f t="shared" si="26"/>
        <v>No</v>
      </c>
      <c r="N260" s="12" t="str">
        <f t="shared" si="27"/>
        <v>Small</v>
      </c>
      <c r="O260" s="12" t="str">
        <f t="shared" si="28"/>
        <v>Central</v>
      </c>
      <c r="P260" s="12">
        <f t="shared" si="29"/>
        <v>1</v>
      </c>
      <c r="Q260" s="12">
        <f t="shared" si="30"/>
        <v>1261.77</v>
      </c>
    </row>
    <row r="261" spans="1:17" x14ac:dyDescent="0.3">
      <c r="A261" s="12" t="s">
        <v>7</v>
      </c>
      <c r="B261" s="12" t="s">
        <v>12</v>
      </c>
      <c r="C261" s="12">
        <v>35.700000000000003</v>
      </c>
      <c r="D261" s="12">
        <v>18</v>
      </c>
      <c r="E261" s="12">
        <v>202</v>
      </c>
      <c r="F261" s="12">
        <v>3550</v>
      </c>
      <c r="G261" s="12" t="s">
        <v>10</v>
      </c>
      <c r="H261" s="12" t="str">
        <f t="shared" si="25"/>
        <v>3812.5</v>
      </c>
      <c r="I261" s="12" t="str">
        <f t="shared" si="26"/>
        <v>No</v>
      </c>
      <c r="N261" s="12" t="str">
        <f t="shared" si="27"/>
        <v>Small</v>
      </c>
      <c r="O261" s="12" t="str">
        <f t="shared" si="28"/>
        <v>Central</v>
      </c>
      <c r="P261" s="12">
        <f t="shared" si="29"/>
        <v>1</v>
      </c>
      <c r="Q261" s="12">
        <f t="shared" si="30"/>
        <v>1262.57</v>
      </c>
    </row>
    <row r="262" spans="1:17" x14ac:dyDescent="0.3">
      <c r="A262" s="12" t="s">
        <v>7</v>
      </c>
      <c r="B262" s="12" t="s">
        <v>11</v>
      </c>
      <c r="C262" s="12">
        <v>39.700000000000003</v>
      </c>
      <c r="D262" s="12">
        <v>18.899999999999999</v>
      </c>
      <c r="E262" s="12">
        <v>184</v>
      </c>
      <c r="F262" s="12">
        <v>3550</v>
      </c>
      <c r="G262" s="12" t="s">
        <v>9</v>
      </c>
      <c r="H262" s="12" t="str">
        <f t="shared" si="25"/>
        <v>3812.5</v>
      </c>
      <c r="I262" s="12" t="str">
        <f t="shared" si="26"/>
        <v>No</v>
      </c>
      <c r="N262" s="12" t="str">
        <f t="shared" si="27"/>
        <v>Small</v>
      </c>
      <c r="O262" s="12" t="str">
        <f t="shared" si="28"/>
        <v>West</v>
      </c>
      <c r="P262" s="12">
        <f t="shared" si="29"/>
        <v>1</v>
      </c>
      <c r="Q262" s="12">
        <f t="shared" si="30"/>
        <v>1257.9000000000001</v>
      </c>
    </row>
    <row r="263" spans="1:17" x14ac:dyDescent="0.3">
      <c r="A263" s="12" t="s">
        <v>13</v>
      </c>
      <c r="B263" s="12" t="s">
        <v>12</v>
      </c>
      <c r="C263" s="12">
        <v>50.9</v>
      </c>
      <c r="D263" s="12">
        <v>19.100000000000001</v>
      </c>
      <c r="E263" s="12">
        <v>196</v>
      </c>
      <c r="F263" s="12">
        <v>3550</v>
      </c>
      <c r="G263" s="12" t="s">
        <v>9</v>
      </c>
      <c r="H263" s="12" t="str">
        <f t="shared" si="25"/>
        <v>3750</v>
      </c>
      <c r="I263" s="12" t="str">
        <f t="shared" si="26"/>
        <v>No</v>
      </c>
      <c r="N263" s="12" t="str">
        <f t="shared" si="27"/>
        <v>Medium</v>
      </c>
      <c r="O263" s="12" t="str">
        <f t="shared" si="28"/>
        <v>Central</v>
      </c>
      <c r="P263" s="12">
        <f t="shared" si="29"/>
        <v>1</v>
      </c>
      <c r="Q263" s="12">
        <f t="shared" si="30"/>
        <v>1265.6300000000001</v>
      </c>
    </row>
    <row r="264" spans="1:17" x14ac:dyDescent="0.3">
      <c r="A264" s="12" t="s">
        <v>13</v>
      </c>
      <c r="B264" s="12" t="s">
        <v>12</v>
      </c>
      <c r="C264" s="12">
        <v>45.4</v>
      </c>
      <c r="D264" s="12">
        <v>18.7</v>
      </c>
      <c r="E264" s="12">
        <v>188</v>
      </c>
      <c r="F264" s="12">
        <v>3525</v>
      </c>
      <c r="G264" s="12" t="s">
        <v>10</v>
      </c>
      <c r="H264" s="12" t="str">
        <f t="shared" si="25"/>
        <v>3750</v>
      </c>
      <c r="I264" s="12" t="str">
        <f t="shared" si="26"/>
        <v>No</v>
      </c>
      <c r="N264" s="12" t="str">
        <f t="shared" si="27"/>
        <v>Medium</v>
      </c>
      <c r="O264" s="12" t="str">
        <f t="shared" si="28"/>
        <v>Central</v>
      </c>
      <c r="P264" s="12">
        <f t="shared" si="29"/>
        <v>1</v>
      </c>
      <c r="Q264" s="12">
        <f t="shared" si="30"/>
        <v>1252.8</v>
      </c>
    </row>
    <row r="265" spans="1:17" x14ac:dyDescent="0.3">
      <c r="A265" s="12" t="s">
        <v>13</v>
      </c>
      <c r="B265" s="12" t="s">
        <v>12</v>
      </c>
      <c r="C265" s="12">
        <v>45.6</v>
      </c>
      <c r="D265" s="12">
        <v>19.399999999999999</v>
      </c>
      <c r="E265" s="12">
        <v>194</v>
      </c>
      <c r="F265" s="12">
        <v>3525</v>
      </c>
      <c r="G265" s="12" t="s">
        <v>10</v>
      </c>
      <c r="H265" s="12" t="str">
        <f t="shared" si="25"/>
        <v>3750</v>
      </c>
      <c r="I265" s="12" t="str">
        <f t="shared" si="26"/>
        <v>No</v>
      </c>
      <c r="N265" s="12" t="str">
        <f t="shared" si="27"/>
        <v>Medium</v>
      </c>
      <c r="O265" s="12" t="str">
        <f t="shared" si="28"/>
        <v>Central</v>
      </c>
      <c r="P265" s="12">
        <f t="shared" si="29"/>
        <v>1</v>
      </c>
      <c r="Q265" s="12">
        <f t="shared" si="30"/>
        <v>1254.8699999999999</v>
      </c>
    </row>
    <row r="266" spans="1:17" x14ac:dyDescent="0.3">
      <c r="A266" s="12" t="s">
        <v>7</v>
      </c>
      <c r="B266" s="12" t="s">
        <v>11</v>
      </c>
      <c r="C266" s="12">
        <v>39.6</v>
      </c>
      <c r="D266" s="12">
        <v>17.7</v>
      </c>
      <c r="E266" s="12">
        <v>186</v>
      </c>
      <c r="F266" s="12">
        <v>3500</v>
      </c>
      <c r="G266" s="12" t="s">
        <v>10</v>
      </c>
      <c r="H266" s="12" t="str">
        <f t="shared" si="25"/>
        <v>3812.5</v>
      </c>
      <c r="I266" s="12" t="str">
        <f t="shared" si="26"/>
        <v>No</v>
      </c>
      <c r="N266" s="12" t="str">
        <f t="shared" si="27"/>
        <v>Small</v>
      </c>
      <c r="O266" s="12" t="str">
        <f t="shared" si="28"/>
        <v>West</v>
      </c>
      <c r="P266" s="12">
        <f t="shared" si="29"/>
        <v>1</v>
      </c>
      <c r="Q266" s="12">
        <f t="shared" si="30"/>
        <v>1241.8699999999999</v>
      </c>
    </row>
    <row r="267" spans="1:17" x14ac:dyDescent="0.3">
      <c r="A267" s="12" t="s">
        <v>7</v>
      </c>
      <c r="B267" s="12" t="s">
        <v>12</v>
      </c>
      <c r="C267" s="12">
        <v>36.9</v>
      </c>
      <c r="D267" s="12">
        <v>18.600000000000001</v>
      </c>
      <c r="E267" s="12">
        <v>189</v>
      </c>
      <c r="F267" s="12">
        <v>3500</v>
      </c>
      <c r="G267" s="12" t="s">
        <v>10</v>
      </c>
      <c r="H267" s="12" t="str">
        <f t="shared" si="25"/>
        <v>3812.5</v>
      </c>
      <c r="I267" s="12" t="str">
        <f t="shared" si="26"/>
        <v>No</v>
      </c>
      <c r="N267" s="12" t="str">
        <f t="shared" si="27"/>
        <v>Small</v>
      </c>
      <c r="O267" s="12" t="str">
        <f t="shared" si="28"/>
        <v>Central</v>
      </c>
      <c r="P267" s="12">
        <f t="shared" si="29"/>
        <v>1</v>
      </c>
      <c r="Q267" s="12">
        <f t="shared" si="30"/>
        <v>1241.97</v>
      </c>
    </row>
    <row r="268" spans="1:17" x14ac:dyDescent="0.3">
      <c r="A268" s="12" t="s">
        <v>7</v>
      </c>
      <c r="B268" s="12" t="s">
        <v>8</v>
      </c>
      <c r="C268" s="12">
        <v>37.700000000000003</v>
      </c>
      <c r="D268" s="12">
        <v>19.8</v>
      </c>
      <c r="E268" s="12">
        <v>198</v>
      </c>
      <c r="F268" s="12">
        <v>3500</v>
      </c>
      <c r="G268" s="12" t="s">
        <v>9</v>
      </c>
      <c r="H268" s="12" t="str">
        <f t="shared" si="25"/>
        <v>3812.5</v>
      </c>
      <c r="I268" s="12" t="str">
        <f t="shared" si="26"/>
        <v>No</v>
      </c>
      <c r="N268" s="12" t="str">
        <f t="shared" si="27"/>
        <v>Small</v>
      </c>
      <c r="O268" s="12" t="str">
        <f t="shared" si="28"/>
        <v>East</v>
      </c>
      <c r="P268" s="12">
        <f t="shared" si="29"/>
        <v>1</v>
      </c>
      <c r="Q268" s="12">
        <f t="shared" si="30"/>
        <v>1245.23</v>
      </c>
    </row>
    <row r="269" spans="1:17" x14ac:dyDescent="0.3">
      <c r="A269" s="12" t="s">
        <v>7</v>
      </c>
      <c r="B269" s="12" t="s">
        <v>8</v>
      </c>
      <c r="C269" s="12">
        <v>43.1</v>
      </c>
      <c r="D269" s="12">
        <v>19.2</v>
      </c>
      <c r="E269" s="12">
        <v>197</v>
      </c>
      <c r="F269" s="12">
        <v>3500</v>
      </c>
      <c r="G269" s="12" t="s">
        <v>9</v>
      </c>
      <c r="H269" s="12" t="str">
        <f t="shared" si="25"/>
        <v>3812.5</v>
      </c>
      <c r="I269" s="12" t="str">
        <f t="shared" si="26"/>
        <v>No</v>
      </c>
      <c r="N269" s="12" t="str">
        <f t="shared" si="27"/>
        <v>Small</v>
      </c>
      <c r="O269" s="12" t="str">
        <f t="shared" si="28"/>
        <v>East</v>
      </c>
      <c r="P269" s="12">
        <f t="shared" si="29"/>
        <v>1</v>
      </c>
      <c r="Q269" s="12">
        <f t="shared" si="30"/>
        <v>1246.7</v>
      </c>
    </row>
    <row r="270" spans="1:17" x14ac:dyDescent="0.3">
      <c r="A270" s="12" t="s">
        <v>7</v>
      </c>
      <c r="B270" s="12" t="s">
        <v>12</v>
      </c>
      <c r="C270" s="12">
        <v>36.799999999999997</v>
      </c>
      <c r="D270" s="12">
        <v>18.5</v>
      </c>
      <c r="E270" s="12">
        <v>193</v>
      </c>
      <c r="F270" s="12">
        <v>3500</v>
      </c>
      <c r="G270" s="12" t="s">
        <v>10</v>
      </c>
      <c r="H270" s="12" t="str">
        <f t="shared" si="25"/>
        <v>3812.5</v>
      </c>
      <c r="I270" s="12" t="str">
        <f t="shared" si="26"/>
        <v>No</v>
      </c>
      <c r="N270" s="12" t="str">
        <f t="shared" si="27"/>
        <v>Small</v>
      </c>
      <c r="O270" s="12" t="str">
        <f t="shared" si="28"/>
        <v>Central</v>
      </c>
      <c r="P270" s="12">
        <f t="shared" si="29"/>
        <v>1</v>
      </c>
      <c r="Q270" s="12">
        <f t="shared" si="30"/>
        <v>1243.27</v>
      </c>
    </row>
    <row r="271" spans="1:17" x14ac:dyDescent="0.3">
      <c r="A271" s="12" t="s">
        <v>13</v>
      </c>
      <c r="B271" s="12" t="s">
        <v>12</v>
      </c>
      <c r="C271" s="12">
        <v>46.5</v>
      </c>
      <c r="D271" s="12">
        <v>17.899999999999999</v>
      </c>
      <c r="E271" s="12">
        <v>192</v>
      </c>
      <c r="F271" s="12">
        <v>3500</v>
      </c>
      <c r="G271" s="12" t="s">
        <v>10</v>
      </c>
      <c r="H271" s="12" t="str">
        <f t="shared" si="25"/>
        <v>3750</v>
      </c>
      <c r="I271" s="12" t="str">
        <f t="shared" si="26"/>
        <v>No</v>
      </c>
      <c r="N271" s="12" t="str">
        <f t="shared" si="27"/>
        <v>Medium</v>
      </c>
      <c r="O271" s="12" t="str">
        <f t="shared" si="28"/>
        <v>Central</v>
      </c>
      <c r="P271" s="12">
        <f t="shared" si="29"/>
        <v>1</v>
      </c>
      <c r="Q271" s="12">
        <f t="shared" si="30"/>
        <v>1246.17</v>
      </c>
    </row>
    <row r="272" spans="1:17" x14ac:dyDescent="0.3">
      <c r="A272" s="12" t="s">
        <v>13</v>
      </c>
      <c r="B272" s="12" t="s">
        <v>12</v>
      </c>
      <c r="C272" s="12">
        <v>45.5</v>
      </c>
      <c r="D272" s="12">
        <v>17</v>
      </c>
      <c r="E272" s="12">
        <v>196</v>
      </c>
      <c r="F272" s="12">
        <v>3500</v>
      </c>
      <c r="G272" s="12" t="s">
        <v>10</v>
      </c>
      <c r="H272" s="12" t="str">
        <f t="shared" si="25"/>
        <v>3750</v>
      </c>
      <c r="I272" s="12" t="str">
        <f t="shared" si="26"/>
        <v>No</v>
      </c>
      <c r="N272" s="12" t="str">
        <f t="shared" si="27"/>
        <v>Medium</v>
      </c>
      <c r="O272" s="12" t="str">
        <f t="shared" si="28"/>
        <v>Central</v>
      </c>
      <c r="P272" s="12">
        <f t="shared" si="29"/>
        <v>1</v>
      </c>
      <c r="Q272" s="12">
        <f t="shared" si="30"/>
        <v>1247.17</v>
      </c>
    </row>
    <row r="273" spans="1:17" x14ac:dyDescent="0.3">
      <c r="A273" s="12" t="s">
        <v>7</v>
      </c>
      <c r="B273" s="12" t="s">
        <v>8</v>
      </c>
      <c r="C273" s="12">
        <v>34.1</v>
      </c>
      <c r="D273" s="12">
        <v>18.100000000000001</v>
      </c>
      <c r="E273" s="12">
        <v>193</v>
      </c>
      <c r="F273" s="12">
        <v>3475</v>
      </c>
      <c r="H273" s="12" t="str">
        <f t="shared" si="25"/>
        <v>3812.5</v>
      </c>
      <c r="I273" s="12" t="str">
        <f t="shared" si="26"/>
        <v>No</v>
      </c>
      <c r="N273" s="12" t="str">
        <f t="shared" si="27"/>
        <v>Small</v>
      </c>
      <c r="O273" s="12" t="str">
        <f t="shared" si="28"/>
        <v>East</v>
      </c>
      <c r="P273" s="12">
        <f t="shared" si="29"/>
        <v>1</v>
      </c>
      <c r="Q273" s="12">
        <f t="shared" si="30"/>
        <v>1234.03</v>
      </c>
    </row>
    <row r="274" spans="1:17" x14ac:dyDescent="0.3">
      <c r="A274" s="12" t="s">
        <v>7</v>
      </c>
      <c r="B274" s="12" t="s">
        <v>12</v>
      </c>
      <c r="C274" s="12">
        <v>40.6</v>
      </c>
      <c r="D274" s="12">
        <v>17.2</v>
      </c>
      <c r="E274" s="12">
        <v>187</v>
      </c>
      <c r="F274" s="12">
        <v>3475</v>
      </c>
      <c r="G274" s="12" t="s">
        <v>9</v>
      </c>
      <c r="H274" s="12" t="str">
        <f t="shared" si="25"/>
        <v>3812.5</v>
      </c>
      <c r="I274" s="12" t="str">
        <f t="shared" si="26"/>
        <v>No</v>
      </c>
      <c r="N274" s="12" t="str">
        <f t="shared" si="27"/>
        <v>Small</v>
      </c>
      <c r="O274" s="12" t="str">
        <f t="shared" si="28"/>
        <v>Central</v>
      </c>
      <c r="P274" s="12">
        <f t="shared" si="29"/>
        <v>1</v>
      </c>
      <c r="Q274" s="12">
        <f t="shared" si="30"/>
        <v>1234.2</v>
      </c>
    </row>
    <row r="275" spans="1:17" x14ac:dyDescent="0.3">
      <c r="A275" s="12" t="s">
        <v>7</v>
      </c>
      <c r="B275" s="12" t="s">
        <v>12</v>
      </c>
      <c r="C275" s="12">
        <v>36.6</v>
      </c>
      <c r="D275" s="12">
        <v>18.399999999999999</v>
      </c>
      <c r="E275" s="12">
        <v>184</v>
      </c>
      <c r="F275" s="12">
        <v>3475</v>
      </c>
      <c r="G275" s="12" t="s">
        <v>10</v>
      </c>
      <c r="H275" s="12" t="str">
        <f t="shared" si="25"/>
        <v>3812.5</v>
      </c>
      <c r="I275" s="12" t="str">
        <f t="shared" si="26"/>
        <v>No</v>
      </c>
      <c r="N275" s="12" t="str">
        <f t="shared" si="27"/>
        <v>Small</v>
      </c>
      <c r="O275" s="12" t="str">
        <f t="shared" si="28"/>
        <v>Central</v>
      </c>
      <c r="P275" s="12">
        <f t="shared" si="29"/>
        <v>1</v>
      </c>
      <c r="Q275" s="12">
        <f t="shared" si="30"/>
        <v>1231.8699999999999</v>
      </c>
    </row>
    <row r="276" spans="1:17" x14ac:dyDescent="0.3">
      <c r="A276" s="12" t="s">
        <v>7</v>
      </c>
      <c r="B276" s="12" t="s">
        <v>8</v>
      </c>
      <c r="C276" s="12">
        <v>36.700000000000003</v>
      </c>
      <c r="D276" s="12">
        <v>19.3</v>
      </c>
      <c r="E276" s="12">
        <v>193</v>
      </c>
      <c r="F276" s="12">
        <v>3450</v>
      </c>
      <c r="G276" s="12" t="s">
        <v>10</v>
      </c>
      <c r="H276" s="12" t="str">
        <f t="shared" si="25"/>
        <v>3812.5</v>
      </c>
      <c r="I276" s="12" t="str">
        <f t="shared" si="26"/>
        <v>No</v>
      </c>
      <c r="N276" s="12" t="str">
        <f t="shared" si="27"/>
        <v>Small</v>
      </c>
      <c r="O276" s="12" t="str">
        <f t="shared" si="28"/>
        <v>East</v>
      </c>
      <c r="P276" s="12">
        <f t="shared" si="29"/>
        <v>1</v>
      </c>
      <c r="Q276" s="12">
        <f t="shared" si="30"/>
        <v>1226.57</v>
      </c>
    </row>
    <row r="277" spans="1:17" x14ac:dyDescent="0.3">
      <c r="A277" s="12" t="s">
        <v>7</v>
      </c>
      <c r="B277" s="12" t="s">
        <v>8</v>
      </c>
      <c r="C277" s="12">
        <v>38.700000000000003</v>
      </c>
      <c r="D277" s="12">
        <v>19</v>
      </c>
      <c r="E277" s="12">
        <v>195</v>
      </c>
      <c r="F277" s="12">
        <v>3450</v>
      </c>
      <c r="G277" s="12" t="s">
        <v>10</v>
      </c>
      <c r="H277" s="12" t="str">
        <f t="shared" si="25"/>
        <v>3812.5</v>
      </c>
      <c r="I277" s="12" t="str">
        <f t="shared" si="26"/>
        <v>No</v>
      </c>
      <c r="N277" s="12" t="str">
        <f t="shared" si="27"/>
        <v>Small</v>
      </c>
      <c r="O277" s="12" t="str">
        <f t="shared" si="28"/>
        <v>East</v>
      </c>
      <c r="P277" s="12">
        <f t="shared" si="29"/>
        <v>1</v>
      </c>
      <c r="Q277" s="12">
        <f t="shared" si="30"/>
        <v>1227.9000000000001</v>
      </c>
    </row>
    <row r="278" spans="1:17" x14ac:dyDescent="0.3">
      <c r="A278" s="12" t="s">
        <v>7</v>
      </c>
      <c r="B278" s="12" t="s">
        <v>12</v>
      </c>
      <c r="C278" s="12">
        <v>36</v>
      </c>
      <c r="D278" s="12">
        <v>17.899999999999999</v>
      </c>
      <c r="E278" s="12">
        <v>190</v>
      </c>
      <c r="F278" s="12">
        <v>3450</v>
      </c>
      <c r="G278" s="12" t="s">
        <v>10</v>
      </c>
      <c r="H278" s="12" t="str">
        <f t="shared" si="25"/>
        <v>3812.5</v>
      </c>
      <c r="I278" s="12" t="str">
        <f t="shared" si="26"/>
        <v>No</v>
      </c>
      <c r="N278" s="12" t="str">
        <f t="shared" si="27"/>
        <v>Small</v>
      </c>
      <c r="O278" s="12" t="str">
        <f t="shared" si="28"/>
        <v>Central</v>
      </c>
      <c r="P278" s="12">
        <f t="shared" si="29"/>
        <v>1</v>
      </c>
      <c r="Q278" s="12">
        <f t="shared" si="30"/>
        <v>1225.33</v>
      </c>
    </row>
    <row r="279" spans="1:17" x14ac:dyDescent="0.3">
      <c r="A279" s="12" t="s">
        <v>7</v>
      </c>
      <c r="B279" s="12" t="s">
        <v>11</v>
      </c>
      <c r="C279" s="12">
        <v>35</v>
      </c>
      <c r="D279" s="12">
        <v>17.899999999999999</v>
      </c>
      <c r="E279" s="12">
        <v>190</v>
      </c>
      <c r="F279" s="12">
        <v>3450</v>
      </c>
      <c r="G279" s="12" t="s">
        <v>10</v>
      </c>
      <c r="H279" s="12" t="str">
        <f t="shared" si="25"/>
        <v>3812.5</v>
      </c>
      <c r="I279" s="12" t="str">
        <f t="shared" si="26"/>
        <v>No</v>
      </c>
      <c r="N279" s="12" t="str">
        <f t="shared" si="27"/>
        <v>Small</v>
      </c>
      <c r="O279" s="12" t="str">
        <f t="shared" si="28"/>
        <v>West</v>
      </c>
      <c r="P279" s="12">
        <f t="shared" si="29"/>
        <v>1</v>
      </c>
      <c r="Q279" s="12">
        <f t="shared" si="30"/>
        <v>1225</v>
      </c>
    </row>
    <row r="280" spans="1:17" x14ac:dyDescent="0.3">
      <c r="A280" s="12" t="s">
        <v>7</v>
      </c>
      <c r="B280" s="12" t="s">
        <v>8</v>
      </c>
      <c r="C280" s="12">
        <v>40.200000000000003</v>
      </c>
      <c r="D280" s="12">
        <v>17</v>
      </c>
      <c r="E280" s="12">
        <v>176</v>
      </c>
      <c r="F280" s="12">
        <v>3450</v>
      </c>
      <c r="G280" s="12" t="s">
        <v>10</v>
      </c>
      <c r="H280" s="12" t="str">
        <f t="shared" si="25"/>
        <v>3812.5</v>
      </c>
      <c r="I280" s="12" t="str">
        <f t="shared" si="26"/>
        <v>No</v>
      </c>
      <c r="N280" s="12" t="str">
        <f t="shared" si="27"/>
        <v>Small</v>
      </c>
      <c r="O280" s="12" t="str">
        <f t="shared" si="28"/>
        <v>East</v>
      </c>
      <c r="P280" s="12">
        <f t="shared" si="29"/>
        <v>1</v>
      </c>
      <c r="Q280" s="12">
        <f t="shared" si="30"/>
        <v>1222.07</v>
      </c>
    </row>
    <row r="281" spans="1:17" x14ac:dyDescent="0.3">
      <c r="A281" s="12" t="s">
        <v>7</v>
      </c>
      <c r="B281" s="12" t="s">
        <v>12</v>
      </c>
      <c r="C281" s="12">
        <v>36</v>
      </c>
      <c r="D281" s="12">
        <v>17.8</v>
      </c>
      <c r="E281" s="12">
        <v>195</v>
      </c>
      <c r="F281" s="12">
        <v>3450</v>
      </c>
      <c r="G281" s="12" t="s">
        <v>10</v>
      </c>
      <c r="H281" s="12" t="str">
        <f t="shared" si="25"/>
        <v>3812.5</v>
      </c>
      <c r="I281" s="12" t="str">
        <f t="shared" si="26"/>
        <v>No</v>
      </c>
      <c r="N281" s="12" t="str">
        <f t="shared" si="27"/>
        <v>Small</v>
      </c>
      <c r="O281" s="12" t="str">
        <f t="shared" si="28"/>
        <v>Central</v>
      </c>
      <c r="P281" s="12">
        <f t="shared" si="29"/>
        <v>1</v>
      </c>
      <c r="Q281" s="12">
        <f t="shared" si="30"/>
        <v>1227</v>
      </c>
    </row>
    <row r="282" spans="1:17" x14ac:dyDescent="0.3">
      <c r="A282" s="12" t="s">
        <v>13</v>
      </c>
      <c r="B282" s="12" t="s">
        <v>12</v>
      </c>
      <c r="C282" s="12">
        <v>46.4</v>
      </c>
      <c r="D282" s="12">
        <v>18.600000000000001</v>
      </c>
      <c r="E282" s="12">
        <v>190</v>
      </c>
      <c r="F282" s="12">
        <v>3450</v>
      </c>
      <c r="G282" s="12" t="s">
        <v>10</v>
      </c>
      <c r="H282" s="12" t="str">
        <f t="shared" si="25"/>
        <v>3750</v>
      </c>
      <c r="I282" s="12" t="str">
        <f t="shared" si="26"/>
        <v>No</v>
      </c>
      <c r="N282" s="12" t="str">
        <f t="shared" si="27"/>
        <v>Medium</v>
      </c>
      <c r="O282" s="12" t="str">
        <f t="shared" si="28"/>
        <v>Central</v>
      </c>
      <c r="P282" s="12">
        <f t="shared" si="29"/>
        <v>1</v>
      </c>
      <c r="Q282" s="12">
        <f t="shared" si="30"/>
        <v>1228.8</v>
      </c>
    </row>
    <row r="283" spans="1:17" x14ac:dyDescent="0.3">
      <c r="A283" s="12" t="s">
        <v>13</v>
      </c>
      <c r="B283" s="12" t="s">
        <v>12</v>
      </c>
      <c r="C283" s="12">
        <v>52.2</v>
      </c>
      <c r="D283" s="12">
        <v>18.8</v>
      </c>
      <c r="E283" s="12">
        <v>197</v>
      </c>
      <c r="F283" s="12">
        <v>3450</v>
      </c>
      <c r="G283" s="12" t="s">
        <v>9</v>
      </c>
      <c r="H283" s="12" t="str">
        <f t="shared" si="25"/>
        <v>3750</v>
      </c>
      <c r="I283" s="12" t="str">
        <f t="shared" si="26"/>
        <v>No</v>
      </c>
      <c r="N283" s="12" t="str">
        <f t="shared" si="27"/>
        <v>Medium</v>
      </c>
      <c r="O283" s="12" t="str">
        <f t="shared" si="28"/>
        <v>Central</v>
      </c>
      <c r="P283" s="12">
        <f t="shared" si="29"/>
        <v>1</v>
      </c>
      <c r="Q283" s="12">
        <f t="shared" si="30"/>
        <v>1233.07</v>
      </c>
    </row>
    <row r="284" spans="1:17" x14ac:dyDescent="0.3">
      <c r="A284" s="12" t="s">
        <v>7</v>
      </c>
      <c r="B284" s="12" t="s">
        <v>12</v>
      </c>
      <c r="C284" s="12">
        <v>41.1</v>
      </c>
      <c r="D284" s="12">
        <v>19</v>
      </c>
      <c r="E284" s="12">
        <v>182</v>
      </c>
      <c r="F284" s="12">
        <v>3425</v>
      </c>
      <c r="G284" s="12" t="s">
        <v>9</v>
      </c>
      <c r="H284" s="12" t="str">
        <f t="shared" si="25"/>
        <v>3812.5</v>
      </c>
      <c r="I284" s="12" t="str">
        <f t="shared" si="26"/>
        <v>No</v>
      </c>
      <c r="N284" s="12" t="str">
        <f t="shared" si="27"/>
        <v>Small</v>
      </c>
      <c r="O284" s="12" t="str">
        <f t="shared" si="28"/>
        <v>Central</v>
      </c>
      <c r="P284" s="12">
        <f t="shared" si="29"/>
        <v>1</v>
      </c>
      <c r="Q284" s="12">
        <f t="shared" si="30"/>
        <v>1216.03</v>
      </c>
    </row>
    <row r="285" spans="1:17" x14ac:dyDescent="0.3">
      <c r="A285" s="12" t="s">
        <v>7</v>
      </c>
      <c r="B285" s="12" t="s">
        <v>12</v>
      </c>
      <c r="C285" s="12">
        <v>38.1</v>
      </c>
      <c r="D285" s="12">
        <v>17.600000000000001</v>
      </c>
      <c r="E285" s="12">
        <v>187</v>
      </c>
      <c r="F285" s="12">
        <v>3425</v>
      </c>
      <c r="G285" s="12" t="s">
        <v>10</v>
      </c>
      <c r="H285" s="12" t="str">
        <f t="shared" si="25"/>
        <v>3812.5</v>
      </c>
      <c r="I285" s="12" t="str">
        <f t="shared" si="26"/>
        <v>No</v>
      </c>
      <c r="N285" s="12" t="str">
        <f t="shared" si="27"/>
        <v>Small</v>
      </c>
      <c r="O285" s="12" t="str">
        <f t="shared" si="28"/>
        <v>Central</v>
      </c>
      <c r="P285" s="12">
        <f t="shared" si="29"/>
        <v>1</v>
      </c>
      <c r="Q285" s="12">
        <f t="shared" si="30"/>
        <v>1216.7</v>
      </c>
    </row>
    <row r="286" spans="1:17" x14ac:dyDescent="0.3">
      <c r="A286" s="12" t="s">
        <v>7</v>
      </c>
      <c r="B286" s="12" t="s">
        <v>11</v>
      </c>
      <c r="C286" s="12">
        <v>37.799999999999997</v>
      </c>
      <c r="D286" s="12">
        <v>18.3</v>
      </c>
      <c r="E286" s="12">
        <v>174</v>
      </c>
      <c r="F286" s="12">
        <v>3400</v>
      </c>
      <c r="G286" s="12" t="s">
        <v>10</v>
      </c>
      <c r="H286" s="12" t="str">
        <f t="shared" si="25"/>
        <v>3812.5</v>
      </c>
      <c r="I286" s="12" t="str">
        <f t="shared" si="26"/>
        <v>No</v>
      </c>
      <c r="N286" s="12" t="str">
        <f t="shared" si="27"/>
        <v>Small</v>
      </c>
      <c r="O286" s="12" t="str">
        <f t="shared" si="28"/>
        <v>West</v>
      </c>
      <c r="P286" s="12">
        <f t="shared" si="29"/>
        <v>1</v>
      </c>
      <c r="Q286" s="12">
        <f t="shared" si="30"/>
        <v>1203.93</v>
      </c>
    </row>
    <row r="287" spans="1:17" x14ac:dyDescent="0.3">
      <c r="A287" s="12" t="s">
        <v>7</v>
      </c>
      <c r="B287" s="12" t="s">
        <v>12</v>
      </c>
      <c r="C287" s="12">
        <v>34</v>
      </c>
      <c r="D287" s="12">
        <v>17.100000000000001</v>
      </c>
      <c r="E287" s="12">
        <v>185</v>
      </c>
      <c r="F287" s="12">
        <v>3400</v>
      </c>
      <c r="G287" s="12" t="s">
        <v>10</v>
      </c>
      <c r="H287" s="12" t="str">
        <f t="shared" si="25"/>
        <v>3812.5</v>
      </c>
      <c r="I287" s="12" t="str">
        <f t="shared" si="26"/>
        <v>No</v>
      </c>
      <c r="N287" s="12" t="str">
        <f t="shared" si="27"/>
        <v>Small</v>
      </c>
      <c r="O287" s="12" t="str">
        <f t="shared" si="28"/>
        <v>Central</v>
      </c>
      <c r="P287" s="12">
        <f t="shared" si="29"/>
        <v>1</v>
      </c>
      <c r="Q287" s="12">
        <f t="shared" si="30"/>
        <v>1206.33</v>
      </c>
    </row>
    <row r="288" spans="1:17" x14ac:dyDescent="0.3">
      <c r="A288" s="12" t="s">
        <v>7</v>
      </c>
      <c r="B288" s="12" t="s">
        <v>12</v>
      </c>
      <c r="C288" s="12">
        <v>37</v>
      </c>
      <c r="D288" s="12">
        <v>16.5</v>
      </c>
      <c r="E288" s="12">
        <v>185</v>
      </c>
      <c r="F288" s="12">
        <v>3400</v>
      </c>
      <c r="G288" s="12" t="s">
        <v>10</v>
      </c>
      <c r="H288" s="12" t="str">
        <f t="shared" si="25"/>
        <v>3812.5</v>
      </c>
      <c r="I288" s="12" t="str">
        <f t="shared" si="26"/>
        <v>No</v>
      </c>
      <c r="N288" s="12" t="str">
        <f t="shared" si="27"/>
        <v>Small</v>
      </c>
      <c r="O288" s="12" t="str">
        <f t="shared" si="28"/>
        <v>Central</v>
      </c>
      <c r="P288" s="12">
        <f t="shared" si="29"/>
        <v>1</v>
      </c>
      <c r="Q288" s="12">
        <f t="shared" si="30"/>
        <v>1207.33</v>
      </c>
    </row>
    <row r="289" spans="1:17" x14ac:dyDescent="0.3">
      <c r="A289" s="12" t="s">
        <v>7</v>
      </c>
      <c r="B289" s="12" t="s">
        <v>12</v>
      </c>
      <c r="C289" s="12">
        <v>40.200000000000003</v>
      </c>
      <c r="D289" s="12">
        <v>17.100000000000001</v>
      </c>
      <c r="E289" s="12">
        <v>193</v>
      </c>
      <c r="F289" s="12">
        <v>3400</v>
      </c>
      <c r="G289" s="12" t="s">
        <v>10</v>
      </c>
      <c r="H289" s="12" t="str">
        <f t="shared" si="25"/>
        <v>3812.5</v>
      </c>
      <c r="I289" s="12" t="str">
        <f t="shared" si="26"/>
        <v>No</v>
      </c>
      <c r="N289" s="12" t="str">
        <f t="shared" si="27"/>
        <v>Small</v>
      </c>
      <c r="O289" s="12" t="str">
        <f t="shared" si="28"/>
        <v>Central</v>
      </c>
      <c r="P289" s="12">
        <f t="shared" si="29"/>
        <v>1</v>
      </c>
      <c r="Q289" s="12">
        <f t="shared" si="30"/>
        <v>1211.07</v>
      </c>
    </row>
    <row r="290" spans="1:17" x14ac:dyDescent="0.3">
      <c r="A290" s="12" t="s">
        <v>13</v>
      </c>
      <c r="B290" s="12" t="s">
        <v>12</v>
      </c>
      <c r="C290" s="12">
        <v>48.5</v>
      </c>
      <c r="D290" s="12">
        <v>17.5</v>
      </c>
      <c r="E290" s="12">
        <v>191</v>
      </c>
      <c r="F290" s="12">
        <v>3400</v>
      </c>
      <c r="G290" s="12" t="s">
        <v>9</v>
      </c>
      <c r="H290" s="12" t="str">
        <f t="shared" si="25"/>
        <v>3750</v>
      </c>
      <c r="I290" s="12" t="str">
        <f t="shared" si="26"/>
        <v>No</v>
      </c>
      <c r="N290" s="12" t="str">
        <f t="shared" si="27"/>
        <v>Medium</v>
      </c>
      <c r="O290" s="12" t="str">
        <f t="shared" si="28"/>
        <v>Central</v>
      </c>
      <c r="P290" s="12">
        <f t="shared" si="29"/>
        <v>1</v>
      </c>
      <c r="Q290" s="12">
        <f t="shared" si="30"/>
        <v>1213.17</v>
      </c>
    </row>
    <row r="291" spans="1:17" x14ac:dyDescent="0.3">
      <c r="A291" s="12" t="s">
        <v>13</v>
      </c>
      <c r="B291" s="12" t="s">
        <v>12</v>
      </c>
      <c r="C291" s="12">
        <v>50.5</v>
      </c>
      <c r="D291" s="12">
        <v>18.399999999999999</v>
      </c>
      <c r="E291" s="12">
        <v>200</v>
      </c>
      <c r="F291" s="12">
        <v>3400</v>
      </c>
      <c r="G291" s="12" t="s">
        <v>10</v>
      </c>
      <c r="H291" s="12" t="str">
        <f t="shared" si="25"/>
        <v>3750</v>
      </c>
      <c r="I291" s="12" t="str">
        <f t="shared" si="26"/>
        <v>No</v>
      </c>
      <c r="N291" s="12" t="str">
        <f t="shared" si="27"/>
        <v>Medium</v>
      </c>
      <c r="O291" s="12" t="str">
        <f t="shared" si="28"/>
        <v>Central</v>
      </c>
      <c r="P291" s="12">
        <f t="shared" si="29"/>
        <v>1</v>
      </c>
      <c r="Q291" s="12">
        <f t="shared" si="30"/>
        <v>1216.83</v>
      </c>
    </row>
    <row r="292" spans="1:17" x14ac:dyDescent="0.3">
      <c r="A292" s="12" t="s">
        <v>13</v>
      </c>
      <c r="B292" s="12" t="s">
        <v>12</v>
      </c>
      <c r="C292" s="12">
        <v>50.1</v>
      </c>
      <c r="D292" s="12">
        <v>17.899999999999999</v>
      </c>
      <c r="E292" s="12">
        <v>190</v>
      </c>
      <c r="F292" s="12">
        <v>3400</v>
      </c>
      <c r="G292" s="12" t="s">
        <v>10</v>
      </c>
      <c r="H292" s="12" t="str">
        <f t="shared" si="25"/>
        <v>3750</v>
      </c>
      <c r="I292" s="12" t="str">
        <f t="shared" si="26"/>
        <v>No</v>
      </c>
      <c r="N292" s="12" t="str">
        <f t="shared" si="27"/>
        <v>Medium</v>
      </c>
      <c r="O292" s="12" t="str">
        <f t="shared" si="28"/>
        <v>Central</v>
      </c>
      <c r="P292" s="12">
        <f t="shared" si="29"/>
        <v>1</v>
      </c>
      <c r="Q292" s="12">
        <f t="shared" si="30"/>
        <v>1213.3699999999999</v>
      </c>
    </row>
    <row r="293" spans="1:17" x14ac:dyDescent="0.3">
      <c r="A293" s="12" t="s">
        <v>13</v>
      </c>
      <c r="B293" s="12" t="s">
        <v>12</v>
      </c>
      <c r="C293" s="12">
        <v>43.5</v>
      </c>
      <c r="D293" s="12">
        <v>18.100000000000001</v>
      </c>
      <c r="E293" s="12">
        <v>202</v>
      </c>
      <c r="F293" s="12">
        <v>3400</v>
      </c>
      <c r="G293" s="12" t="s">
        <v>10</v>
      </c>
      <c r="H293" s="12" t="str">
        <f t="shared" si="25"/>
        <v>3750</v>
      </c>
      <c r="I293" s="12" t="str">
        <f t="shared" si="26"/>
        <v>No</v>
      </c>
      <c r="N293" s="12" t="str">
        <f t="shared" si="27"/>
        <v>Medium</v>
      </c>
      <c r="O293" s="12" t="str">
        <f t="shared" si="28"/>
        <v>Central</v>
      </c>
      <c r="P293" s="12">
        <f t="shared" si="29"/>
        <v>1</v>
      </c>
      <c r="Q293" s="12">
        <f t="shared" si="30"/>
        <v>1215.17</v>
      </c>
    </row>
    <row r="294" spans="1:17" x14ac:dyDescent="0.3">
      <c r="A294" s="12" t="s">
        <v>7</v>
      </c>
      <c r="B294" s="12" t="s">
        <v>11</v>
      </c>
      <c r="C294" s="12">
        <v>35.5</v>
      </c>
      <c r="D294" s="12">
        <v>16.2</v>
      </c>
      <c r="E294" s="12">
        <v>195</v>
      </c>
      <c r="F294" s="12">
        <v>3350</v>
      </c>
      <c r="G294" s="12" t="s">
        <v>10</v>
      </c>
      <c r="H294" s="12" t="str">
        <f t="shared" si="25"/>
        <v>3812.5</v>
      </c>
      <c r="I294" s="12" t="str">
        <f t="shared" si="26"/>
        <v>No</v>
      </c>
      <c r="N294" s="12" t="str">
        <f t="shared" si="27"/>
        <v>Small</v>
      </c>
      <c r="O294" s="12" t="str">
        <f t="shared" si="28"/>
        <v>West</v>
      </c>
      <c r="P294" s="12">
        <f t="shared" si="29"/>
        <v>1</v>
      </c>
      <c r="Q294" s="12">
        <f t="shared" si="30"/>
        <v>1193.5</v>
      </c>
    </row>
    <row r="295" spans="1:17" x14ac:dyDescent="0.3">
      <c r="A295" s="12" t="s">
        <v>7</v>
      </c>
      <c r="B295" s="12" t="s">
        <v>12</v>
      </c>
      <c r="C295" s="12">
        <v>37.299999999999997</v>
      </c>
      <c r="D295" s="12">
        <v>17.8</v>
      </c>
      <c r="E295" s="12">
        <v>191</v>
      </c>
      <c r="F295" s="12">
        <v>3350</v>
      </c>
      <c r="G295" s="12" t="s">
        <v>10</v>
      </c>
      <c r="H295" s="12" t="str">
        <f t="shared" si="25"/>
        <v>3812.5</v>
      </c>
      <c r="I295" s="12" t="str">
        <f t="shared" si="26"/>
        <v>No</v>
      </c>
      <c r="N295" s="12" t="str">
        <f t="shared" si="27"/>
        <v>Small</v>
      </c>
      <c r="O295" s="12" t="str">
        <f t="shared" si="28"/>
        <v>Central</v>
      </c>
      <c r="P295" s="12">
        <f t="shared" si="29"/>
        <v>1</v>
      </c>
      <c r="Q295" s="12">
        <f t="shared" si="30"/>
        <v>1192.77</v>
      </c>
    </row>
    <row r="296" spans="1:17" x14ac:dyDescent="0.3">
      <c r="A296" s="12" t="s">
        <v>7</v>
      </c>
      <c r="B296" s="12" t="s">
        <v>8</v>
      </c>
      <c r="C296" s="12">
        <v>35.700000000000003</v>
      </c>
      <c r="D296" s="12">
        <v>17</v>
      </c>
      <c r="E296" s="12">
        <v>189</v>
      </c>
      <c r="F296" s="12">
        <v>3350</v>
      </c>
      <c r="G296" s="12" t="s">
        <v>10</v>
      </c>
      <c r="H296" s="12" t="str">
        <f t="shared" si="25"/>
        <v>3812.5</v>
      </c>
      <c r="I296" s="12" t="str">
        <f t="shared" si="26"/>
        <v>No</v>
      </c>
      <c r="N296" s="12" t="str">
        <f t="shared" si="27"/>
        <v>Small</v>
      </c>
      <c r="O296" s="12" t="str">
        <f t="shared" si="28"/>
        <v>East</v>
      </c>
      <c r="P296" s="12">
        <f t="shared" si="29"/>
        <v>1</v>
      </c>
      <c r="Q296" s="12">
        <f t="shared" si="30"/>
        <v>1191.57</v>
      </c>
    </row>
    <row r="297" spans="1:17" x14ac:dyDescent="0.3">
      <c r="A297" s="12" t="s">
        <v>13</v>
      </c>
      <c r="B297" s="12" t="s">
        <v>12</v>
      </c>
      <c r="C297" s="12">
        <v>42.5</v>
      </c>
      <c r="D297" s="12">
        <v>16.7</v>
      </c>
      <c r="E297" s="12">
        <v>187</v>
      </c>
      <c r="F297" s="12">
        <v>3350</v>
      </c>
      <c r="G297" s="12" t="s">
        <v>10</v>
      </c>
      <c r="H297" s="12" t="str">
        <f t="shared" si="25"/>
        <v>3750</v>
      </c>
      <c r="I297" s="12" t="str">
        <f t="shared" si="26"/>
        <v>No</v>
      </c>
      <c r="N297" s="12" t="str">
        <f t="shared" si="27"/>
        <v>Medium</v>
      </c>
      <c r="O297" s="12" t="str">
        <f t="shared" si="28"/>
        <v>Central</v>
      </c>
      <c r="P297" s="12">
        <f t="shared" si="29"/>
        <v>1</v>
      </c>
      <c r="Q297" s="12">
        <f t="shared" si="30"/>
        <v>1193.17</v>
      </c>
    </row>
    <row r="298" spans="1:17" x14ac:dyDescent="0.3">
      <c r="A298" s="12" t="s">
        <v>13</v>
      </c>
      <c r="B298" s="12" t="s">
        <v>12</v>
      </c>
      <c r="C298" s="12">
        <v>42.5</v>
      </c>
      <c r="D298" s="12">
        <v>17.3</v>
      </c>
      <c r="E298" s="12">
        <v>187</v>
      </c>
      <c r="F298" s="12">
        <v>3350</v>
      </c>
      <c r="G298" s="12" t="s">
        <v>10</v>
      </c>
      <c r="H298" s="12" t="str">
        <f t="shared" si="25"/>
        <v>3750</v>
      </c>
      <c r="I298" s="12" t="str">
        <f t="shared" si="26"/>
        <v>No</v>
      </c>
      <c r="N298" s="12" t="str">
        <f t="shared" si="27"/>
        <v>Medium</v>
      </c>
      <c r="O298" s="12" t="str">
        <f t="shared" si="28"/>
        <v>Central</v>
      </c>
      <c r="P298" s="12">
        <f t="shared" si="29"/>
        <v>1</v>
      </c>
      <c r="Q298" s="12">
        <f t="shared" si="30"/>
        <v>1193.17</v>
      </c>
    </row>
    <row r="299" spans="1:17" x14ac:dyDescent="0.3">
      <c r="A299" s="12" t="s">
        <v>7</v>
      </c>
      <c r="B299" s="12" t="s">
        <v>8</v>
      </c>
      <c r="C299" s="12">
        <v>34.4</v>
      </c>
      <c r="D299" s="12">
        <v>18.399999999999999</v>
      </c>
      <c r="E299" s="12">
        <v>184</v>
      </c>
      <c r="F299" s="12">
        <v>3325</v>
      </c>
      <c r="G299" s="12" t="s">
        <v>10</v>
      </c>
      <c r="H299" s="12" t="str">
        <f t="shared" si="25"/>
        <v>3812.5</v>
      </c>
      <c r="I299" s="12" t="str">
        <f t="shared" si="26"/>
        <v>No</v>
      </c>
      <c r="N299" s="12" t="str">
        <f t="shared" si="27"/>
        <v>Small</v>
      </c>
      <c r="O299" s="12" t="str">
        <f t="shared" si="28"/>
        <v>East</v>
      </c>
      <c r="P299" s="12">
        <f t="shared" si="29"/>
        <v>1</v>
      </c>
      <c r="Q299" s="12">
        <f t="shared" si="30"/>
        <v>1181.1300000000001</v>
      </c>
    </row>
    <row r="300" spans="1:17" x14ac:dyDescent="0.3">
      <c r="A300" s="12" t="s">
        <v>7</v>
      </c>
      <c r="B300" s="12" t="s">
        <v>12</v>
      </c>
      <c r="C300" s="12">
        <v>36.4</v>
      </c>
      <c r="D300" s="12">
        <v>17</v>
      </c>
      <c r="E300" s="12">
        <v>195</v>
      </c>
      <c r="F300" s="12">
        <v>3325</v>
      </c>
      <c r="G300" s="12" t="s">
        <v>10</v>
      </c>
      <c r="H300" s="12" t="str">
        <f t="shared" si="25"/>
        <v>3812.5</v>
      </c>
      <c r="I300" s="12" t="str">
        <f t="shared" si="26"/>
        <v>No</v>
      </c>
      <c r="N300" s="12" t="str">
        <f t="shared" si="27"/>
        <v>Small</v>
      </c>
      <c r="O300" s="12" t="str">
        <f t="shared" si="28"/>
        <v>Central</v>
      </c>
      <c r="P300" s="12">
        <f t="shared" si="29"/>
        <v>1</v>
      </c>
      <c r="Q300" s="12">
        <f t="shared" si="30"/>
        <v>1185.47</v>
      </c>
    </row>
    <row r="301" spans="1:17" x14ac:dyDescent="0.3">
      <c r="A301" s="12" t="s">
        <v>7</v>
      </c>
      <c r="B301" s="12" t="s">
        <v>8</v>
      </c>
      <c r="C301" s="12">
        <v>41.1</v>
      </c>
      <c r="D301" s="12">
        <v>18.600000000000001</v>
      </c>
      <c r="E301" s="12">
        <v>189</v>
      </c>
      <c r="F301" s="12">
        <v>3325</v>
      </c>
      <c r="G301" s="12" t="s">
        <v>9</v>
      </c>
      <c r="H301" s="12" t="str">
        <f t="shared" si="25"/>
        <v>3812.5</v>
      </c>
      <c r="I301" s="12" t="str">
        <f t="shared" si="26"/>
        <v>No</v>
      </c>
      <c r="N301" s="12" t="str">
        <f t="shared" si="27"/>
        <v>Small</v>
      </c>
      <c r="O301" s="12" t="str">
        <f t="shared" si="28"/>
        <v>East</v>
      </c>
      <c r="P301" s="12">
        <f t="shared" si="29"/>
        <v>1</v>
      </c>
      <c r="Q301" s="12">
        <f t="shared" si="30"/>
        <v>1185.03</v>
      </c>
    </row>
    <row r="302" spans="1:17" x14ac:dyDescent="0.3">
      <c r="A302" s="12" t="s">
        <v>7</v>
      </c>
      <c r="B302" s="12" t="s">
        <v>8</v>
      </c>
      <c r="C302" s="12">
        <v>38.5</v>
      </c>
      <c r="D302" s="12">
        <v>17.899999999999999</v>
      </c>
      <c r="E302" s="12">
        <v>190</v>
      </c>
      <c r="F302" s="12">
        <v>3325</v>
      </c>
      <c r="G302" s="12" t="s">
        <v>10</v>
      </c>
      <c r="H302" s="12" t="str">
        <f t="shared" si="25"/>
        <v>3812.5</v>
      </c>
      <c r="I302" s="12" t="str">
        <f t="shared" si="26"/>
        <v>No</v>
      </c>
      <c r="N302" s="12" t="str">
        <f t="shared" si="27"/>
        <v>Small</v>
      </c>
      <c r="O302" s="12" t="str">
        <f t="shared" si="28"/>
        <v>East</v>
      </c>
      <c r="P302" s="12">
        <f t="shared" si="29"/>
        <v>1</v>
      </c>
      <c r="Q302" s="12">
        <f t="shared" si="30"/>
        <v>1184.5</v>
      </c>
    </row>
    <row r="303" spans="1:17" x14ac:dyDescent="0.3">
      <c r="A303" s="12" t="s">
        <v>13</v>
      </c>
      <c r="B303" s="12" t="s">
        <v>12</v>
      </c>
      <c r="C303" s="12">
        <v>48.1</v>
      </c>
      <c r="D303" s="12">
        <v>16.399999999999999</v>
      </c>
      <c r="E303" s="12">
        <v>199</v>
      </c>
      <c r="F303" s="12">
        <v>3325</v>
      </c>
      <c r="G303" s="12" t="s">
        <v>10</v>
      </c>
      <c r="H303" s="12" t="str">
        <f t="shared" si="25"/>
        <v>3750</v>
      </c>
      <c r="I303" s="12" t="str">
        <f t="shared" si="26"/>
        <v>No</v>
      </c>
      <c r="N303" s="12" t="str">
        <f t="shared" si="27"/>
        <v>Medium</v>
      </c>
      <c r="O303" s="12" t="str">
        <f t="shared" si="28"/>
        <v>Central</v>
      </c>
      <c r="P303" s="12">
        <f t="shared" si="29"/>
        <v>1</v>
      </c>
      <c r="Q303" s="12">
        <f t="shared" si="30"/>
        <v>1190.7</v>
      </c>
    </row>
    <row r="304" spans="1:17" x14ac:dyDescent="0.3">
      <c r="A304" s="12" t="s">
        <v>7</v>
      </c>
      <c r="B304" s="12" t="s">
        <v>8</v>
      </c>
      <c r="C304" s="12">
        <v>37.799999999999997</v>
      </c>
      <c r="D304" s="12">
        <v>17.100000000000001</v>
      </c>
      <c r="E304" s="12">
        <v>186</v>
      </c>
      <c r="F304" s="12">
        <v>3300</v>
      </c>
      <c r="H304" s="12" t="str">
        <f t="shared" si="25"/>
        <v>3812.5</v>
      </c>
      <c r="I304" s="12" t="str">
        <f t="shared" si="26"/>
        <v>No</v>
      </c>
      <c r="N304" s="12" t="str">
        <f t="shared" si="27"/>
        <v>Small</v>
      </c>
      <c r="O304" s="12" t="str">
        <f t="shared" si="28"/>
        <v>East</v>
      </c>
      <c r="P304" s="12">
        <f t="shared" si="29"/>
        <v>1</v>
      </c>
      <c r="Q304" s="12">
        <f t="shared" si="30"/>
        <v>1174.5999999999999</v>
      </c>
    </row>
    <row r="305" spans="1:17" x14ac:dyDescent="0.3">
      <c r="A305" s="12" t="s">
        <v>7</v>
      </c>
      <c r="B305" s="12" t="s">
        <v>12</v>
      </c>
      <c r="C305" s="12">
        <v>39.5</v>
      </c>
      <c r="D305" s="12">
        <v>17.8</v>
      </c>
      <c r="E305" s="12">
        <v>188</v>
      </c>
      <c r="F305" s="12">
        <v>3300</v>
      </c>
      <c r="G305" s="12" t="s">
        <v>10</v>
      </c>
      <c r="H305" s="12" t="str">
        <f t="shared" si="25"/>
        <v>3812.5</v>
      </c>
      <c r="I305" s="12" t="str">
        <f t="shared" si="26"/>
        <v>No</v>
      </c>
      <c r="N305" s="12" t="str">
        <f t="shared" si="27"/>
        <v>Small</v>
      </c>
      <c r="O305" s="12" t="str">
        <f t="shared" si="28"/>
        <v>Central</v>
      </c>
      <c r="P305" s="12">
        <f t="shared" si="29"/>
        <v>1</v>
      </c>
      <c r="Q305" s="12">
        <f t="shared" si="30"/>
        <v>1175.83</v>
      </c>
    </row>
    <row r="306" spans="1:17" x14ac:dyDescent="0.3">
      <c r="A306" s="12" t="s">
        <v>7</v>
      </c>
      <c r="B306" s="12" t="s">
        <v>12</v>
      </c>
      <c r="C306" s="12">
        <v>37.6</v>
      </c>
      <c r="D306" s="12">
        <v>19.3</v>
      </c>
      <c r="E306" s="12">
        <v>181</v>
      </c>
      <c r="F306" s="12">
        <v>3300</v>
      </c>
      <c r="G306" s="12" t="s">
        <v>10</v>
      </c>
      <c r="H306" s="12" t="str">
        <f t="shared" si="25"/>
        <v>3812.5</v>
      </c>
      <c r="I306" s="12" t="str">
        <f t="shared" si="26"/>
        <v>No</v>
      </c>
      <c r="N306" s="12" t="str">
        <f t="shared" si="27"/>
        <v>Small</v>
      </c>
      <c r="O306" s="12" t="str">
        <f t="shared" si="28"/>
        <v>Central</v>
      </c>
      <c r="P306" s="12">
        <f t="shared" si="29"/>
        <v>1</v>
      </c>
      <c r="Q306" s="12">
        <f t="shared" si="30"/>
        <v>1172.8699999999999</v>
      </c>
    </row>
    <row r="307" spans="1:17" x14ac:dyDescent="0.3">
      <c r="A307" s="12" t="s">
        <v>7</v>
      </c>
      <c r="B307" s="12" t="s">
        <v>12</v>
      </c>
      <c r="C307" s="12">
        <v>36.200000000000003</v>
      </c>
      <c r="D307" s="12">
        <v>17.3</v>
      </c>
      <c r="E307" s="12">
        <v>187</v>
      </c>
      <c r="F307" s="12">
        <v>3300</v>
      </c>
      <c r="G307" s="12" t="s">
        <v>10</v>
      </c>
      <c r="H307" s="12" t="str">
        <f t="shared" si="25"/>
        <v>3812.5</v>
      </c>
      <c r="I307" s="12" t="str">
        <f t="shared" si="26"/>
        <v>No</v>
      </c>
      <c r="N307" s="12" t="str">
        <f t="shared" si="27"/>
        <v>Small</v>
      </c>
      <c r="O307" s="12" t="str">
        <f t="shared" si="28"/>
        <v>Central</v>
      </c>
      <c r="P307" s="12">
        <f t="shared" si="29"/>
        <v>1</v>
      </c>
      <c r="Q307" s="12">
        <f t="shared" si="30"/>
        <v>1174.4000000000001</v>
      </c>
    </row>
    <row r="308" spans="1:17" x14ac:dyDescent="0.3">
      <c r="A308" s="12" t="s">
        <v>13</v>
      </c>
      <c r="B308" s="12" t="s">
        <v>12</v>
      </c>
      <c r="C308" s="12">
        <v>50.3</v>
      </c>
      <c r="D308" s="12">
        <v>20</v>
      </c>
      <c r="E308" s="12">
        <v>197</v>
      </c>
      <c r="F308" s="12">
        <v>3300</v>
      </c>
      <c r="G308" s="12" t="s">
        <v>9</v>
      </c>
      <c r="H308" s="12" t="str">
        <f t="shared" si="25"/>
        <v>3750</v>
      </c>
      <c r="I308" s="12" t="str">
        <f t="shared" si="26"/>
        <v>No</v>
      </c>
      <c r="N308" s="12" t="str">
        <f t="shared" si="27"/>
        <v>Medium</v>
      </c>
      <c r="O308" s="12" t="str">
        <f t="shared" si="28"/>
        <v>Central</v>
      </c>
      <c r="P308" s="12">
        <f t="shared" si="29"/>
        <v>1</v>
      </c>
      <c r="Q308" s="12">
        <f t="shared" si="30"/>
        <v>1182.43</v>
      </c>
    </row>
    <row r="309" spans="1:17" x14ac:dyDescent="0.3">
      <c r="A309" s="12" t="s">
        <v>13</v>
      </c>
      <c r="B309" s="12" t="s">
        <v>12</v>
      </c>
      <c r="C309" s="12">
        <v>46.7</v>
      </c>
      <c r="D309" s="12">
        <v>17.899999999999999</v>
      </c>
      <c r="E309" s="12">
        <v>195</v>
      </c>
      <c r="F309" s="12">
        <v>3300</v>
      </c>
      <c r="G309" s="12" t="s">
        <v>10</v>
      </c>
      <c r="H309" s="12" t="str">
        <f t="shared" si="25"/>
        <v>3750</v>
      </c>
      <c r="I309" s="12" t="str">
        <f t="shared" si="26"/>
        <v>No</v>
      </c>
      <c r="N309" s="12" t="str">
        <f t="shared" si="27"/>
        <v>Medium</v>
      </c>
      <c r="O309" s="12" t="str">
        <f t="shared" si="28"/>
        <v>Central</v>
      </c>
      <c r="P309" s="12">
        <f t="shared" si="29"/>
        <v>1</v>
      </c>
      <c r="Q309" s="12">
        <f t="shared" si="30"/>
        <v>1180.57</v>
      </c>
    </row>
    <row r="310" spans="1:17" x14ac:dyDescent="0.3">
      <c r="A310" s="12" t="s">
        <v>7</v>
      </c>
      <c r="B310" s="12" t="s">
        <v>8</v>
      </c>
      <c r="C310" s="12">
        <v>38.799999999999997</v>
      </c>
      <c r="D310" s="12">
        <v>17.600000000000001</v>
      </c>
      <c r="E310" s="12">
        <v>191</v>
      </c>
      <c r="F310" s="12">
        <v>3275</v>
      </c>
      <c r="G310" s="12" t="s">
        <v>10</v>
      </c>
      <c r="H310" s="12" t="str">
        <f t="shared" si="25"/>
        <v>3812.5</v>
      </c>
      <c r="I310" s="12" t="str">
        <f t="shared" si="26"/>
        <v>No</v>
      </c>
      <c r="N310" s="12" t="str">
        <f t="shared" si="27"/>
        <v>Small</v>
      </c>
      <c r="O310" s="12" t="str">
        <f t="shared" si="28"/>
        <v>East</v>
      </c>
      <c r="P310" s="12">
        <f t="shared" si="29"/>
        <v>1</v>
      </c>
      <c r="Q310" s="12">
        <f t="shared" si="30"/>
        <v>1168.27</v>
      </c>
    </row>
    <row r="311" spans="1:17" x14ac:dyDescent="0.3">
      <c r="A311" s="12" t="s">
        <v>7</v>
      </c>
      <c r="B311" s="12" t="s">
        <v>8</v>
      </c>
      <c r="C311" s="12">
        <v>40.299999999999997</v>
      </c>
      <c r="D311" s="12">
        <v>18</v>
      </c>
      <c r="E311" s="12">
        <v>195</v>
      </c>
      <c r="F311" s="12">
        <v>3250</v>
      </c>
      <c r="G311" s="12" t="s">
        <v>10</v>
      </c>
      <c r="H311" s="12" t="str">
        <f t="shared" si="25"/>
        <v>3812.5</v>
      </c>
      <c r="I311" s="12" t="str">
        <f t="shared" si="26"/>
        <v>No</v>
      </c>
      <c r="N311" s="12" t="str">
        <f t="shared" si="27"/>
        <v>Small</v>
      </c>
      <c r="O311" s="12" t="str">
        <f t="shared" si="28"/>
        <v>East</v>
      </c>
      <c r="P311" s="12">
        <f t="shared" si="29"/>
        <v>1</v>
      </c>
      <c r="Q311" s="12">
        <f t="shared" si="30"/>
        <v>1161.77</v>
      </c>
    </row>
    <row r="312" spans="1:17" x14ac:dyDescent="0.3">
      <c r="A312" s="12" t="s">
        <v>7</v>
      </c>
      <c r="B312" s="12" t="s">
        <v>12</v>
      </c>
      <c r="C312" s="12">
        <v>39.5</v>
      </c>
      <c r="D312" s="12">
        <v>16.7</v>
      </c>
      <c r="E312" s="12">
        <v>178</v>
      </c>
      <c r="F312" s="12">
        <v>3250</v>
      </c>
      <c r="G312" s="12" t="s">
        <v>10</v>
      </c>
      <c r="H312" s="12" t="str">
        <f t="shared" si="25"/>
        <v>3812.5</v>
      </c>
      <c r="I312" s="12" t="str">
        <f t="shared" si="26"/>
        <v>No</v>
      </c>
      <c r="N312" s="12" t="str">
        <f t="shared" si="27"/>
        <v>Small</v>
      </c>
      <c r="O312" s="12" t="str">
        <f t="shared" si="28"/>
        <v>Central</v>
      </c>
      <c r="P312" s="12">
        <f t="shared" si="29"/>
        <v>1</v>
      </c>
      <c r="Q312" s="12">
        <f t="shared" si="30"/>
        <v>1155.83</v>
      </c>
    </row>
    <row r="313" spans="1:17" x14ac:dyDescent="0.3">
      <c r="A313" s="12" t="s">
        <v>13</v>
      </c>
      <c r="B313" s="12" t="s">
        <v>12</v>
      </c>
      <c r="C313" s="12">
        <v>46.1</v>
      </c>
      <c r="D313" s="12">
        <v>18.2</v>
      </c>
      <c r="E313" s="12">
        <v>178</v>
      </c>
      <c r="F313" s="12">
        <v>3250</v>
      </c>
      <c r="G313" s="12" t="s">
        <v>10</v>
      </c>
      <c r="H313" s="12" t="str">
        <f t="shared" si="25"/>
        <v>3750</v>
      </c>
      <c r="I313" s="12" t="str">
        <f t="shared" si="26"/>
        <v>No</v>
      </c>
      <c r="N313" s="12" t="str">
        <f t="shared" si="27"/>
        <v>Medium</v>
      </c>
      <c r="O313" s="12" t="str">
        <f t="shared" si="28"/>
        <v>Central</v>
      </c>
      <c r="P313" s="12">
        <f t="shared" si="29"/>
        <v>1</v>
      </c>
      <c r="Q313" s="12">
        <f t="shared" si="30"/>
        <v>1158.03</v>
      </c>
    </row>
    <row r="314" spans="1:17" x14ac:dyDescent="0.3">
      <c r="A314" s="12" t="s">
        <v>13</v>
      </c>
      <c r="B314" s="12" t="s">
        <v>12</v>
      </c>
      <c r="C314" s="12">
        <v>51.5</v>
      </c>
      <c r="D314" s="12">
        <v>18.7</v>
      </c>
      <c r="E314" s="12">
        <v>187</v>
      </c>
      <c r="F314" s="12">
        <v>3250</v>
      </c>
      <c r="G314" s="12" t="s">
        <v>9</v>
      </c>
      <c r="H314" s="12" t="str">
        <f t="shared" si="25"/>
        <v>3750</v>
      </c>
      <c r="I314" s="12" t="str">
        <f t="shared" si="26"/>
        <v>No</v>
      </c>
      <c r="N314" s="12" t="str">
        <f t="shared" si="27"/>
        <v>Medium</v>
      </c>
      <c r="O314" s="12" t="str">
        <f t="shared" si="28"/>
        <v>Central</v>
      </c>
      <c r="P314" s="12">
        <f t="shared" si="29"/>
        <v>1</v>
      </c>
      <c r="Q314" s="12">
        <f t="shared" si="30"/>
        <v>1162.83</v>
      </c>
    </row>
    <row r="315" spans="1:17" x14ac:dyDescent="0.3">
      <c r="A315" s="12" t="s">
        <v>13</v>
      </c>
      <c r="B315" s="12" t="s">
        <v>12</v>
      </c>
      <c r="C315" s="12">
        <v>45.2</v>
      </c>
      <c r="D315" s="12">
        <v>16.600000000000001</v>
      </c>
      <c r="E315" s="12">
        <v>191</v>
      </c>
      <c r="F315" s="12">
        <v>3250</v>
      </c>
      <c r="G315" s="12" t="s">
        <v>10</v>
      </c>
      <c r="H315" s="12" t="str">
        <f t="shared" si="25"/>
        <v>3750</v>
      </c>
      <c r="I315" s="12" t="str">
        <f t="shared" si="26"/>
        <v>No</v>
      </c>
      <c r="N315" s="12" t="str">
        <f t="shared" si="27"/>
        <v>Medium</v>
      </c>
      <c r="O315" s="12" t="str">
        <f t="shared" si="28"/>
        <v>Central</v>
      </c>
      <c r="P315" s="12">
        <f t="shared" si="29"/>
        <v>1</v>
      </c>
      <c r="Q315" s="12">
        <f t="shared" si="30"/>
        <v>1162.07</v>
      </c>
    </row>
    <row r="316" spans="1:17" x14ac:dyDescent="0.3">
      <c r="A316" s="12" t="s">
        <v>7</v>
      </c>
      <c r="B316" s="12" t="s">
        <v>8</v>
      </c>
      <c r="C316" s="12">
        <v>41.1</v>
      </c>
      <c r="D316" s="12">
        <v>17.600000000000001</v>
      </c>
      <c r="E316" s="12">
        <v>182</v>
      </c>
      <c r="F316" s="12">
        <v>3200</v>
      </c>
      <c r="G316" s="12" t="s">
        <v>10</v>
      </c>
      <c r="H316" s="12" t="str">
        <f t="shared" si="25"/>
        <v>3812.5</v>
      </c>
      <c r="I316" s="12" t="str">
        <f t="shared" si="26"/>
        <v>No</v>
      </c>
      <c r="N316" s="12" t="str">
        <f t="shared" si="27"/>
        <v>Small</v>
      </c>
      <c r="O316" s="12" t="str">
        <f t="shared" si="28"/>
        <v>East</v>
      </c>
      <c r="P316" s="12">
        <f t="shared" si="29"/>
        <v>1</v>
      </c>
      <c r="Q316" s="12">
        <f t="shared" si="30"/>
        <v>1141.03</v>
      </c>
    </row>
    <row r="317" spans="1:17" x14ac:dyDescent="0.3">
      <c r="A317" s="12" t="s">
        <v>7</v>
      </c>
      <c r="B317" s="12" t="s">
        <v>11</v>
      </c>
      <c r="C317" s="12">
        <v>40.5</v>
      </c>
      <c r="D317" s="12">
        <v>17.899999999999999</v>
      </c>
      <c r="E317" s="12">
        <v>187</v>
      </c>
      <c r="F317" s="12">
        <v>3200</v>
      </c>
      <c r="G317" s="12" t="s">
        <v>10</v>
      </c>
      <c r="H317" s="12" t="str">
        <f t="shared" si="25"/>
        <v>3812.5</v>
      </c>
      <c r="I317" s="12" t="str">
        <f t="shared" si="26"/>
        <v>No</v>
      </c>
      <c r="N317" s="12" t="str">
        <f t="shared" si="27"/>
        <v>Small</v>
      </c>
      <c r="O317" s="12" t="str">
        <f t="shared" si="28"/>
        <v>West</v>
      </c>
      <c r="P317" s="12">
        <f t="shared" si="29"/>
        <v>1</v>
      </c>
      <c r="Q317" s="12">
        <f t="shared" si="30"/>
        <v>1142.5</v>
      </c>
    </row>
    <row r="318" spans="1:17" x14ac:dyDescent="0.3">
      <c r="A318" s="12" t="s">
        <v>7</v>
      </c>
      <c r="B318" s="12" t="s">
        <v>8</v>
      </c>
      <c r="C318" s="12">
        <v>34.6</v>
      </c>
      <c r="D318" s="12">
        <v>17.2</v>
      </c>
      <c r="E318" s="12">
        <v>189</v>
      </c>
      <c r="F318" s="12">
        <v>3200</v>
      </c>
      <c r="G318" s="12" t="s">
        <v>10</v>
      </c>
      <c r="H318" s="12" t="str">
        <f t="shared" si="25"/>
        <v>3812.5</v>
      </c>
      <c r="I318" s="12" t="str">
        <f t="shared" si="26"/>
        <v>No</v>
      </c>
      <c r="N318" s="12" t="str">
        <f t="shared" si="27"/>
        <v>Small</v>
      </c>
      <c r="O318" s="12" t="str">
        <f t="shared" si="28"/>
        <v>East</v>
      </c>
      <c r="P318" s="12">
        <f t="shared" si="29"/>
        <v>1</v>
      </c>
      <c r="Q318" s="12">
        <f t="shared" si="30"/>
        <v>1141.2</v>
      </c>
    </row>
    <row r="319" spans="1:17" x14ac:dyDescent="0.3">
      <c r="A319" s="12" t="s">
        <v>7</v>
      </c>
      <c r="B319" s="12" t="s">
        <v>11</v>
      </c>
      <c r="C319" s="12">
        <v>39.700000000000003</v>
      </c>
      <c r="D319" s="12">
        <v>17.7</v>
      </c>
      <c r="E319" s="12">
        <v>193</v>
      </c>
      <c r="F319" s="12">
        <v>3200</v>
      </c>
      <c r="G319" s="12" t="s">
        <v>10</v>
      </c>
      <c r="H319" s="12" t="str">
        <f t="shared" si="25"/>
        <v>3812.5</v>
      </c>
      <c r="I319" s="12" t="str">
        <f t="shared" si="26"/>
        <v>No</v>
      </c>
      <c r="N319" s="12" t="str">
        <f t="shared" si="27"/>
        <v>Small</v>
      </c>
      <c r="O319" s="12" t="str">
        <f t="shared" si="28"/>
        <v>West</v>
      </c>
      <c r="P319" s="12">
        <f t="shared" si="29"/>
        <v>1</v>
      </c>
      <c r="Q319" s="12">
        <f t="shared" si="30"/>
        <v>1144.23</v>
      </c>
    </row>
    <row r="320" spans="1:17" x14ac:dyDescent="0.3">
      <c r="A320" s="12" t="s">
        <v>13</v>
      </c>
      <c r="B320" s="12" t="s">
        <v>12</v>
      </c>
      <c r="C320" s="12">
        <v>40.9</v>
      </c>
      <c r="D320" s="12">
        <v>16.600000000000001</v>
      </c>
      <c r="E320" s="12">
        <v>187</v>
      </c>
      <c r="F320" s="12">
        <v>3200</v>
      </c>
      <c r="G320" s="12" t="s">
        <v>10</v>
      </c>
      <c r="H320" s="12" t="str">
        <f t="shared" si="25"/>
        <v>3750</v>
      </c>
      <c r="I320" s="12" t="str">
        <f t="shared" si="26"/>
        <v>No</v>
      </c>
      <c r="N320" s="12" t="str">
        <f t="shared" si="27"/>
        <v>Medium</v>
      </c>
      <c r="O320" s="12" t="str">
        <f t="shared" si="28"/>
        <v>Central</v>
      </c>
      <c r="P320" s="12">
        <f t="shared" si="29"/>
        <v>1</v>
      </c>
      <c r="Q320" s="12">
        <f t="shared" si="30"/>
        <v>1142.6300000000001</v>
      </c>
    </row>
    <row r="321" spans="1:17" x14ac:dyDescent="0.3">
      <c r="A321" s="12" t="s">
        <v>7</v>
      </c>
      <c r="B321" s="12" t="s">
        <v>11</v>
      </c>
      <c r="C321" s="12">
        <v>38.1</v>
      </c>
      <c r="D321" s="12">
        <v>17</v>
      </c>
      <c r="E321" s="12">
        <v>181</v>
      </c>
      <c r="F321" s="12">
        <v>3175</v>
      </c>
      <c r="G321" s="12" t="s">
        <v>10</v>
      </c>
      <c r="H321" s="12" t="str">
        <f t="shared" si="25"/>
        <v>3812.5</v>
      </c>
      <c r="I321" s="12" t="str">
        <f t="shared" si="26"/>
        <v>No</v>
      </c>
      <c r="N321" s="12" t="str">
        <f t="shared" si="27"/>
        <v>Small</v>
      </c>
      <c r="O321" s="12" t="str">
        <f t="shared" si="28"/>
        <v>West</v>
      </c>
      <c r="P321" s="12">
        <f t="shared" si="29"/>
        <v>1</v>
      </c>
      <c r="Q321" s="12">
        <f t="shared" si="30"/>
        <v>1131.3699999999999</v>
      </c>
    </row>
    <row r="322" spans="1:17" x14ac:dyDescent="0.3">
      <c r="A322" s="12" t="s">
        <v>7</v>
      </c>
      <c r="B322" s="12" t="s">
        <v>12</v>
      </c>
      <c r="C322" s="12">
        <v>35.6</v>
      </c>
      <c r="D322" s="12">
        <v>17.5</v>
      </c>
      <c r="E322" s="12">
        <v>191</v>
      </c>
      <c r="F322" s="12">
        <v>3175</v>
      </c>
      <c r="G322" s="12" t="s">
        <v>10</v>
      </c>
      <c r="H322" s="12" t="str">
        <f t="shared" ref="H322:H345" si="31">IF(AND(A322="Gentoo"),"5125",IF(AND(A322="Chinstrap"),"3750",IF(AND(A322="Adelie"),"3812.5")))</f>
        <v>3812.5</v>
      </c>
      <c r="I322" s="12" t="str">
        <f t="shared" ref="I322:I345" si="32">IF(AND(A322="Gentoo",F322&gt;5125),"Yes",
   IF(AND(A322="Chinstrap",F322&gt;3750),"Yes",
   IF(AND(A322="Adelie",F322&gt;3812.5),"Yes","No")))</f>
        <v>No</v>
      </c>
      <c r="N322" s="12" t="str">
        <f t="shared" ref="N322:N345" si="33">VLOOKUP(A322,$J$2:$K$4,2,FALSE)</f>
        <v>Small</v>
      </c>
      <c r="O322" s="12" t="str">
        <f t="shared" ref="O322:O345" si="34">VLOOKUP(B322,$L$2:$M$4,2,FALSE)</f>
        <v>Central</v>
      </c>
      <c r="P322" s="12">
        <f t="shared" ref="P322:P345" si="35">IF(F322&gt;5000,3,IF(F322&gt;4000,2,1))</f>
        <v>1</v>
      </c>
      <c r="Q322" s="12">
        <f t="shared" ref="Q322:Q345" si="36">ROUND((F322+E322+C322)/3,2)</f>
        <v>1133.8699999999999</v>
      </c>
    </row>
    <row r="323" spans="1:17" x14ac:dyDescent="0.3">
      <c r="A323" s="12" t="s">
        <v>7</v>
      </c>
      <c r="B323" s="12" t="s">
        <v>11</v>
      </c>
      <c r="C323" s="12">
        <v>37.9</v>
      </c>
      <c r="D323" s="12">
        <v>18.600000000000001</v>
      </c>
      <c r="E323" s="12">
        <v>172</v>
      </c>
      <c r="F323" s="12">
        <v>3150</v>
      </c>
      <c r="G323" s="12" t="s">
        <v>10</v>
      </c>
      <c r="H323" s="12" t="str">
        <f t="shared" si="31"/>
        <v>3812.5</v>
      </c>
      <c r="I323" s="12" t="str">
        <f t="shared" si="32"/>
        <v>No</v>
      </c>
      <c r="N323" s="12" t="str">
        <f t="shared" si="33"/>
        <v>Small</v>
      </c>
      <c r="O323" s="12" t="str">
        <f t="shared" si="34"/>
        <v>West</v>
      </c>
      <c r="P323" s="12">
        <f t="shared" si="35"/>
        <v>1</v>
      </c>
      <c r="Q323" s="12">
        <f t="shared" si="36"/>
        <v>1119.97</v>
      </c>
    </row>
    <row r="324" spans="1:17" x14ac:dyDescent="0.3">
      <c r="A324" s="12" t="s">
        <v>7</v>
      </c>
      <c r="B324" s="12" t="s">
        <v>12</v>
      </c>
      <c r="C324" s="12">
        <v>36.5</v>
      </c>
      <c r="D324" s="12">
        <v>18</v>
      </c>
      <c r="E324" s="12">
        <v>182</v>
      </c>
      <c r="F324" s="12">
        <v>3150</v>
      </c>
      <c r="G324" s="12" t="s">
        <v>10</v>
      </c>
      <c r="H324" s="12" t="str">
        <f t="shared" si="31"/>
        <v>3812.5</v>
      </c>
      <c r="I324" s="12" t="str">
        <f t="shared" si="32"/>
        <v>No</v>
      </c>
      <c r="N324" s="12" t="str">
        <f t="shared" si="33"/>
        <v>Small</v>
      </c>
      <c r="O324" s="12" t="str">
        <f t="shared" si="34"/>
        <v>Central</v>
      </c>
      <c r="P324" s="12">
        <f t="shared" si="35"/>
        <v>1</v>
      </c>
      <c r="Q324" s="12">
        <f t="shared" si="36"/>
        <v>1122.83</v>
      </c>
    </row>
    <row r="325" spans="1:17" x14ac:dyDescent="0.3">
      <c r="A325" s="12" t="s">
        <v>7</v>
      </c>
      <c r="B325" s="12" t="s">
        <v>11</v>
      </c>
      <c r="C325" s="12">
        <v>35.700000000000003</v>
      </c>
      <c r="D325" s="12">
        <v>16.899999999999999</v>
      </c>
      <c r="E325" s="12">
        <v>185</v>
      </c>
      <c r="F325" s="12">
        <v>3150</v>
      </c>
      <c r="G325" s="12" t="s">
        <v>10</v>
      </c>
      <c r="H325" s="12" t="str">
        <f t="shared" si="31"/>
        <v>3812.5</v>
      </c>
      <c r="I325" s="12" t="str">
        <f t="shared" si="32"/>
        <v>No</v>
      </c>
      <c r="N325" s="12" t="str">
        <f t="shared" si="33"/>
        <v>Small</v>
      </c>
      <c r="O325" s="12" t="str">
        <f t="shared" si="34"/>
        <v>West</v>
      </c>
      <c r="P325" s="12">
        <f t="shared" si="35"/>
        <v>1</v>
      </c>
      <c r="Q325" s="12">
        <f t="shared" si="36"/>
        <v>1123.57</v>
      </c>
    </row>
    <row r="326" spans="1:17" x14ac:dyDescent="0.3">
      <c r="A326" s="12" t="s">
        <v>7</v>
      </c>
      <c r="B326" s="12" t="s">
        <v>8</v>
      </c>
      <c r="C326" s="12">
        <v>36.200000000000003</v>
      </c>
      <c r="D326" s="12">
        <v>17.2</v>
      </c>
      <c r="E326" s="12">
        <v>187</v>
      </c>
      <c r="F326" s="12">
        <v>3150</v>
      </c>
      <c r="G326" s="12" t="s">
        <v>10</v>
      </c>
      <c r="H326" s="12" t="str">
        <f t="shared" si="31"/>
        <v>3812.5</v>
      </c>
      <c r="I326" s="12" t="str">
        <f t="shared" si="32"/>
        <v>No</v>
      </c>
      <c r="N326" s="12" t="str">
        <f t="shared" si="33"/>
        <v>Small</v>
      </c>
      <c r="O326" s="12" t="str">
        <f t="shared" si="34"/>
        <v>East</v>
      </c>
      <c r="P326" s="12">
        <f t="shared" si="35"/>
        <v>1</v>
      </c>
      <c r="Q326" s="12">
        <f t="shared" si="36"/>
        <v>1124.4000000000001</v>
      </c>
    </row>
    <row r="327" spans="1:17" x14ac:dyDescent="0.3">
      <c r="A327" s="12" t="s">
        <v>7</v>
      </c>
      <c r="B327" s="12" t="s">
        <v>12</v>
      </c>
      <c r="C327" s="12">
        <v>36</v>
      </c>
      <c r="D327" s="12">
        <v>18.5</v>
      </c>
      <c r="E327" s="12">
        <v>186</v>
      </c>
      <c r="F327" s="12">
        <v>3100</v>
      </c>
      <c r="G327" s="12" t="s">
        <v>10</v>
      </c>
      <c r="H327" s="12" t="str">
        <f t="shared" si="31"/>
        <v>3812.5</v>
      </c>
      <c r="I327" s="12" t="str">
        <f t="shared" si="32"/>
        <v>No</v>
      </c>
      <c r="N327" s="12" t="str">
        <f t="shared" si="33"/>
        <v>Small</v>
      </c>
      <c r="O327" s="12" t="str">
        <f t="shared" si="34"/>
        <v>Central</v>
      </c>
      <c r="P327" s="12">
        <f t="shared" si="35"/>
        <v>1</v>
      </c>
      <c r="Q327" s="12">
        <f t="shared" si="36"/>
        <v>1107.33</v>
      </c>
    </row>
    <row r="328" spans="1:17" x14ac:dyDescent="0.3">
      <c r="A328" s="12" t="s">
        <v>7</v>
      </c>
      <c r="B328" s="12" t="s">
        <v>11</v>
      </c>
      <c r="C328" s="12">
        <v>37.700000000000003</v>
      </c>
      <c r="D328" s="12">
        <v>16</v>
      </c>
      <c r="E328" s="12">
        <v>183</v>
      </c>
      <c r="F328" s="12">
        <v>3075</v>
      </c>
      <c r="G328" s="12" t="s">
        <v>10</v>
      </c>
      <c r="H328" s="12" t="str">
        <f t="shared" si="31"/>
        <v>3812.5</v>
      </c>
      <c r="I328" s="12" t="str">
        <f t="shared" si="32"/>
        <v>No</v>
      </c>
      <c r="N328" s="12" t="str">
        <f t="shared" si="33"/>
        <v>Small</v>
      </c>
      <c r="O328" s="12" t="str">
        <f t="shared" si="34"/>
        <v>West</v>
      </c>
      <c r="P328" s="12">
        <f t="shared" si="35"/>
        <v>1</v>
      </c>
      <c r="Q328" s="12">
        <f t="shared" si="36"/>
        <v>1098.57</v>
      </c>
    </row>
    <row r="329" spans="1:17" x14ac:dyDescent="0.3">
      <c r="A329" s="12" t="s">
        <v>7</v>
      </c>
      <c r="B329" s="12" t="s">
        <v>8</v>
      </c>
      <c r="C329" s="12">
        <v>35.9</v>
      </c>
      <c r="D329" s="12">
        <v>16.600000000000001</v>
      </c>
      <c r="E329" s="12">
        <v>190</v>
      </c>
      <c r="F329" s="12">
        <v>3050</v>
      </c>
      <c r="G329" s="12" t="s">
        <v>10</v>
      </c>
      <c r="H329" s="12" t="str">
        <f t="shared" si="31"/>
        <v>3812.5</v>
      </c>
      <c r="I329" s="12" t="str">
        <f t="shared" si="32"/>
        <v>No</v>
      </c>
      <c r="N329" s="12" t="str">
        <f t="shared" si="33"/>
        <v>Small</v>
      </c>
      <c r="O329" s="12" t="str">
        <f t="shared" si="34"/>
        <v>East</v>
      </c>
      <c r="P329" s="12">
        <f t="shared" si="35"/>
        <v>1</v>
      </c>
      <c r="Q329" s="12">
        <f t="shared" si="36"/>
        <v>1091.97</v>
      </c>
    </row>
    <row r="330" spans="1:17" x14ac:dyDescent="0.3">
      <c r="A330" s="12" t="s">
        <v>7</v>
      </c>
      <c r="B330" s="12" t="s">
        <v>8</v>
      </c>
      <c r="C330" s="12">
        <v>35.200000000000003</v>
      </c>
      <c r="D330" s="12">
        <v>15.9</v>
      </c>
      <c r="E330" s="12">
        <v>186</v>
      </c>
      <c r="F330" s="12">
        <v>3050</v>
      </c>
      <c r="G330" s="12" t="s">
        <v>10</v>
      </c>
      <c r="H330" s="12" t="str">
        <f t="shared" si="31"/>
        <v>3812.5</v>
      </c>
      <c r="I330" s="12" t="str">
        <f t="shared" si="32"/>
        <v>No</v>
      </c>
      <c r="N330" s="12" t="str">
        <f t="shared" si="33"/>
        <v>Small</v>
      </c>
      <c r="O330" s="12" t="str">
        <f t="shared" si="34"/>
        <v>East</v>
      </c>
      <c r="P330" s="12">
        <f t="shared" si="35"/>
        <v>1</v>
      </c>
      <c r="Q330" s="12">
        <f t="shared" si="36"/>
        <v>1090.4000000000001</v>
      </c>
    </row>
    <row r="331" spans="1:17" x14ac:dyDescent="0.3">
      <c r="A331" s="12" t="s">
        <v>7</v>
      </c>
      <c r="B331" s="12" t="s">
        <v>8</v>
      </c>
      <c r="C331" s="12">
        <v>39</v>
      </c>
      <c r="D331" s="12">
        <v>17.100000000000001</v>
      </c>
      <c r="E331" s="12">
        <v>191</v>
      </c>
      <c r="F331" s="12">
        <v>3050</v>
      </c>
      <c r="G331" s="12" t="s">
        <v>10</v>
      </c>
      <c r="H331" s="12" t="str">
        <f t="shared" si="31"/>
        <v>3812.5</v>
      </c>
      <c r="I331" s="12" t="str">
        <f t="shared" si="32"/>
        <v>No</v>
      </c>
      <c r="N331" s="12" t="str">
        <f t="shared" si="33"/>
        <v>Small</v>
      </c>
      <c r="O331" s="12" t="str">
        <f t="shared" si="34"/>
        <v>East</v>
      </c>
      <c r="P331" s="12">
        <f t="shared" si="35"/>
        <v>1</v>
      </c>
      <c r="Q331" s="12">
        <f t="shared" si="36"/>
        <v>1093.33</v>
      </c>
    </row>
    <row r="332" spans="1:17" x14ac:dyDescent="0.3">
      <c r="A332" s="12" t="s">
        <v>7</v>
      </c>
      <c r="B332" s="12" t="s">
        <v>12</v>
      </c>
      <c r="C332" s="12">
        <v>32.1</v>
      </c>
      <c r="D332" s="12">
        <v>15.5</v>
      </c>
      <c r="E332" s="12">
        <v>188</v>
      </c>
      <c r="F332" s="12">
        <v>3050</v>
      </c>
      <c r="G332" s="12" t="s">
        <v>10</v>
      </c>
      <c r="H332" s="12" t="str">
        <f t="shared" si="31"/>
        <v>3812.5</v>
      </c>
      <c r="I332" s="12" t="str">
        <f t="shared" si="32"/>
        <v>No</v>
      </c>
      <c r="N332" s="12" t="str">
        <f t="shared" si="33"/>
        <v>Small</v>
      </c>
      <c r="O332" s="12" t="str">
        <f t="shared" si="34"/>
        <v>Central</v>
      </c>
      <c r="P332" s="12">
        <f t="shared" si="35"/>
        <v>1</v>
      </c>
      <c r="Q332" s="12">
        <f t="shared" si="36"/>
        <v>1090.03</v>
      </c>
    </row>
    <row r="333" spans="1:17" x14ac:dyDescent="0.3">
      <c r="A333" s="12" t="s">
        <v>7</v>
      </c>
      <c r="B333" s="12" t="s">
        <v>12</v>
      </c>
      <c r="C333" s="12">
        <v>37</v>
      </c>
      <c r="D333" s="12">
        <v>16.899999999999999</v>
      </c>
      <c r="E333" s="12">
        <v>185</v>
      </c>
      <c r="F333" s="12">
        <v>3000</v>
      </c>
      <c r="G333" s="12" t="s">
        <v>10</v>
      </c>
      <c r="H333" s="12" t="str">
        <f t="shared" si="31"/>
        <v>3812.5</v>
      </c>
      <c r="I333" s="12" t="str">
        <f t="shared" si="32"/>
        <v>No</v>
      </c>
      <c r="N333" s="12" t="str">
        <f t="shared" si="33"/>
        <v>Small</v>
      </c>
      <c r="O333" s="12" t="str">
        <f t="shared" si="34"/>
        <v>Central</v>
      </c>
      <c r="P333" s="12">
        <f t="shared" si="35"/>
        <v>1</v>
      </c>
      <c r="Q333" s="12">
        <f t="shared" si="36"/>
        <v>1074</v>
      </c>
    </row>
    <row r="334" spans="1:17" x14ac:dyDescent="0.3">
      <c r="A334" s="12" t="s">
        <v>7</v>
      </c>
      <c r="B334" s="12" t="s">
        <v>12</v>
      </c>
      <c r="C334" s="12">
        <v>37.299999999999997</v>
      </c>
      <c r="D334" s="12">
        <v>16.8</v>
      </c>
      <c r="E334" s="12">
        <v>192</v>
      </c>
      <c r="F334" s="12">
        <v>3000</v>
      </c>
      <c r="G334" s="12" t="s">
        <v>10</v>
      </c>
      <c r="H334" s="12" t="str">
        <f t="shared" si="31"/>
        <v>3812.5</v>
      </c>
      <c r="I334" s="12" t="str">
        <f t="shared" si="32"/>
        <v>No</v>
      </c>
      <c r="N334" s="12" t="str">
        <f t="shared" si="33"/>
        <v>Small</v>
      </c>
      <c r="O334" s="12" t="str">
        <f t="shared" si="34"/>
        <v>Central</v>
      </c>
      <c r="P334" s="12">
        <f t="shared" si="35"/>
        <v>1</v>
      </c>
      <c r="Q334" s="12">
        <f t="shared" si="36"/>
        <v>1076.43</v>
      </c>
    </row>
    <row r="335" spans="1:17" x14ac:dyDescent="0.3">
      <c r="A335" s="12" t="s">
        <v>7</v>
      </c>
      <c r="B335" s="12" t="s">
        <v>12</v>
      </c>
      <c r="C335" s="12">
        <v>37.5</v>
      </c>
      <c r="D335" s="12">
        <v>18.899999999999999</v>
      </c>
      <c r="E335" s="12">
        <v>179</v>
      </c>
      <c r="F335" s="12">
        <v>2975</v>
      </c>
      <c r="H335" s="12" t="str">
        <f t="shared" si="31"/>
        <v>3812.5</v>
      </c>
      <c r="I335" s="12" t="str">
        <f t="shared" si="32"/>
        <v>No</v>
      </c>
      <c r="N335" s="12" t="str">
        <f t="shared" si="33"/>
        <v>Small</v>
      </c>
      <c r="O335" s="12" t="str">
        <f t="shared" si="34"/>
        <v>Central</v>
      </c>
      <c r="P335" s="12">
        <f t="shared" si="35"/>
        <v>1</v>
      </c>
      <c r="Q335" s="12">
        <f t="shared" si="36"/>
        <v>1063.83</v>
      </c>
    </row>
    <row r="336" spans="1:17" x14ac:dyDescent="0.3">
      <c r="A336" s="12" t="s">
        <v>7</v>
      </c>
      <c r="B336" s="12" t="s">
        <v>11</v>
      </c>
      <c r="C336" s="12">
        <v>37.9</v>
      </c>
      <c r="D336" s="12">
        <v>18.600000000000001</v>
      </c>
      <c r="E336" s="12">
        <v>193</v>
      </c>
      <c r="F336" s="12">
        <v>2925</v>
      </c>
      <c r="G336" s="12" t="s">
        <v>10</v>
      </c>
      <c r="H336" s="12" t="str">
        <f t="shared" si="31"/>
        <v>3812.5</v>
      </c>
      <c r="I336" s="12" t="str">
        <f t="shared" si="32"/>
        <v>No</v>
      </c>
      <c r="N336" s="12" t="str">
        <f t="shared" si="33"/>
        <v>Small</v>
      </c>
      <c r="O336" s="12" t="str">
        <f t="shared" si="34"/>
        <v>West</v>
      </c>
      <c r="P336" s="12">
        <f t="shared" si="35"/>
        <v>1</v>
      </c>
      <c r="Q336" s="12">
        <f t="shared" si="36"/>
        <v>1051.97</v>
      </c>
    </row>
    <row r="337" spans="1:17" x14ac:dyDescent="0.3">
      <c r="A337" s="12" t="s">
        <v>7</v>
      </c>
      <c r="B337" s="12" t="s">
        <v>11</v>
      </c>
      <c r="C337" s="12">
        <v>34.5</v>
      </c>
      <c r="D337" s="12">
        <v>18.100000000000001</v>
      </c>
      <c r="E337" s="12">
        <v>187</v>
      </c>
      <c r="F337" s="12">
        <v>2900</v>
      </c>
      <c r="G337" s="12" t="s">
        <v>10</v>
      </c>
      <c r="H337" s="12" t="str">
        <f t="shared" si="31"/>
        <v>3812.5</v>
      </c>
      <c r="I337" s="12" t="str">
        <f t="shared" si="32"/>
        <v>No</v>
      </c>
      <c r="N337" s="12" t="str">
        <f t="shared" si="33"/>
        <v>Small</v>
      </c>
      <c r="O337" s="12" t="str">
        <f t="shared" si="34"/>
        <v>West</v>
      </c>
      <c r="P337" s="12">
        <f t="shared" si="35"/>
        <v>1</v>
      </c>
      <c r="Q337" s="12">
        <f t="shared" si="36"/>
        <v>1040.5</v>
      </c>
    </row>
    <row r="338" spans="1:17" x14ac:dyDescent="0.3">
      <c r="A338" s="12" t="s">
        <v>7</v>
      </c>
      <c r="B338" s="12" t="s">
        <v>12</v>
      </c>
      <c r="C338" s="12">
        <v>33.1</v>
      </c>
      <c r="D338" s="12">
        <v>16.100000000000001</v>
      </c>
      <c r="E338" s="12">
        <v>178</v>
      </c>
      <c r="F338" s="12">
        <v>2900</v>
      </c>
      <c r="G338" s="12" t="s">
        <v>10</v>
      </c>
      <c r="H338" s="12" t="str">
        <f t="shared" si="31"/>
        <v>3812.5</v>
      </c>
      <c r="I338" s="12" t="str">
        <f t="shared" si="32"/>
        <v>No</v>
      </c>
      <c r="N338" s="12" t="str">
        <f t="shared" si="33"/>
        <v>Small</v>
      </c>
      <c r="O338" s="12" t="str">
        <f t="shared" si="34"/>
        <v>Central</v>
      </c>
      <c r="P338" s="12">
        <f t="shared" si="35"/>
        <v>1</v>
      </c>
      <c r="Q338" s="12">
        <f t="shared" si="36"/>
        <v>1037.03</v>
      </c>
    </row>
    <row r="339" spans="1:17" x14ac:dyDescent="0.3">
      <c r="A339" s="12" t="s">
        <v>7</v>
      </c>
      <c r="B339" s="12" t="s">
        <v>8</v>
      </c>
      <c r="C339" s="12">
        <v>38.6</v>
      </c>
      <c r="D339" s="12">
        <v>17</v>
      </c>
      <c r="E339" s="12">
        <v>188</v>
      </c>
      <c r="F339" s="12">
        <v>2900</v>
      </c>
      <c r="G339" s="12" t="s">
        <v>10</v>
      </c>
      <c r="H339" s="12" t="str">
        <f t="shared" si="31"/>
        <v>3812.5</v>
      </c>
      <c r="I339" s="12" t="str">
        <f t="shared" si="32"/>
        <v>No</v>
      </c>
      <c r="N339" s="12" t="str">
        <f t="shared" si="33"/>
        <v>Small</v>
      </c>
      <c r="O339" s="12" t="str">
        <f t="shared" si="34"/>
        <v>East</v>
      </c>
      <c r="P339" s="12">
        <f t="shared" si="35"/>
        <v>1</v>
      </c>
      <c r="Q339" s="12">
        <f t="shared" si="36"/>
        <v>1042.2</v>
      </c>
    </row>
    <row r="340" spans="1:17" x14ac:dyDescent="0.3">
      <c r="A340" s="12" t="s">
        <v>13</v>
      </c>
      <c r="B340" s="12" t="s">
        <v>12</v>
      </c>
      <c r="C340" s="12">
        <v>43.2</v>
      </c>
      <c r="D340" s="12">
        <v>16.600000000000001</v>
      </c>
      <c r="E340" s="12">
        <v>187</v>
      </c>
      <c r="F340" s="12">
        <v>2900</v>
      </c>
      <c r="G340" s="12" t="s">
        <v>10</v>
      </c>
      <c r="H340" s="12" t="str">
        <f t="shared" si="31"/>
        <v>3750</v>
      </c>
      <c r="I340" s="12" t="str">
        <f t="shared" si="32"/>
        <v>No</v>
      </c>
      <c r="N340" s="12" t="str">
        <f t="shared" si="33"/>
        <v>Medium</v>
      </c>
      <c r="O340" s="12" t="str">
        <f t="shared" si="34"/>
        <v>Central</v>
      </c>
      <c r="P340" s="12">
        <f t="shared" si="35"/>
        <v>1</v>
      </c>
      <c r="Q340" s="12">
        <f t="shared" si="36"/>
        <v>1043.4000000000001</v>
      </c>
    </row>
    <row r="341" spans="1:17" x14ac:dyDescent="0.3">
      <c r="A341" s="12" t="s">
        <v>7</v>
      </c>
      <c r="B341" s="12" t="s">
        <v>11</v>
      </c>
      <c r="C341" s="12">
        <v>36.5</v>
      </c>
      <c r="D341" s="12">
        <v>16.600000000000001</v>
      </c>
      <c r="E341" s="12">
        <v>181</v>
      </c>
      <c r="F341" s="12">
        <v>2850</v>
      </c>
      <c r="G341" s="12" t="s">
        <v>10</v>
      </c>
      <c r="H341" s="12" t="str">
        <f t="shared" si="31"/>
        <v>3812.5</v>
      </c>
      <c r="I341" s="12" t="str">
        <f t="shared" si="32"/>
        <v>No</v>
      </c>
      <c r="N341" s="12" t="str">
        <f t="shared" si="33"/>
        <v>Small</v>
      </c>
      <c r="O341" s="12" t="str">
        <f t="shared" si="34"/>
        <v>West</v>
      </c>
      <c r="P341" s="12">
        <f t="shared" si="35"/>
        <v>1</v>
      </c>
      <c r="Q341" s="12">
        <f t="shared" si="36"/>
        <v>1022.5</v>
      </c>
    </row>
    <row r="342" spans="1:17" x14ac:dyDescent="0.3">
      <c r="A342" s="12" t="s">
        <v>7</v>
      </c>
      <c r="B342" s="12" t="s">
        <v>11</v>
      </c>
      <c r="C342" s="12">
        <v>36.4</v>
      </c>
      <c r="D342" s="12">
        <v>17.100000000000001</v>
      </c>
      <c r="E342" s="12">
        <v>184</v>
      </c>
      <c r="F342" s="12">
        <v>2850</v>
      </c>
      <c r="G342" s="12" t="s">
        <v>10</v>
      </c>
      <c r="H342" s="12" t="str">
        <f t="shared" si="31"/>
        <v>3812.5</v>
      </c>
      <c r="I342" s="12" t="str">
        <f t="shared" si="32"/>
        <v>No</v>
      </c>
      <c r="N342" s="12" t="str">
        <f t="shared" si="33"/>
        <v>Small</v>
      </c>
      <c r="O342" s="12" t="str">
        <f t="shared" si="34"/>
        <v>West</v>
      </c>
      <c r="P342" s="12">
        <f t="shared" si="35"/>
        <v>1</v>
      </c>
      <c r="Q342" s="12">
        <f t="shared" si="36"/>
        <v>1023.47</v>
      </c>
    </row>
    <row r="343" spans="1:17" x14ac:dyDescent="0.3">
      <c r="A343" s="12" t="s">
        <v>13</v>
      </c>
      <c r="B343" s="12" t="s">
        <v>12</v>
      </c>
      <c r="C343" s="12">
        <v>46.9</v>
      </c>
      <c r="D343" s="12">
        <v>16.600000000000001</v>
      </c>
      <c r="E343" s="12">
        <v>192</v>
      </c>
      <c r="F343" s="12">
        <v>2700</v>
      </c>
      <c r="G343" s="12" t="s">
        <v>10</v>
      </c>
      <c r="H343" s="12" t="str">
        <f t="shared" si="31"/>
        <v>3750</v>
      </c>
      <c r="I343" s="12" t="str">
        <f t="shared" si="32"/>
        <v>No</v>
      </c>
      <c r="N343" s="12" t="str">
        <f t="shared" si="33"/>
        <v>Medium</v>
      </c>
      <c r="O343" s="12" t="str">
        <f t="shared" si="34"/>
        <v>Central</v>
      </c>
      <c r="P343" s="12">
        <f t="shared" si="35"/>
        <v>1</v>
      </c>
      <c r="Q343" s="12">
        <f t="shared" si="36"/>
        <v>979.63</v>
      </c>
    </row>
    <row r="344" spans="1:17" x14ac:dyDescent="0.3">
      <c r="A344" s="12" t="s">
        <v>7</v>
      </c>
      <c r="B344" s="12" t="s">
        <v>8</v>
      </c>
      <c r="H344" s="12" t="str">
        <f t="shared" si="31"/>
        <v>3812.5</v>
      </c>
      <c r="I344" s="12" t="str">
        <f t="shared" si="32"/>
        <v>No</v>
      </c>
      <c r="N344" s="12" t="str">
        <f t="shared" si="33"/>
        <v>Small</v>
      </c>
      <c r="O344" s="12" t="str">
        <f t="shared" si="34"/>
        <v>East</v>
      </c>
      <c r="P344" s="12">
        <f t="shared" si="35"/>
        <v>1</v>
      </c>
      <c r="Q344" s="12">
        <f t="shared" si="36"/>
        <v>0</v>
      </c>
    </row>
    <row r="345" spans="1:17" x14ac:dyDescent="0.3">
      <c r="A345" s="12" t="s">
        <v>14</v>
      </c>
      <c r="B345" s="12" t="s">
        <v>11</v>
      </c>
      <c r="H345" s="12" t="str">
        <f t="shared" si="31"/>
        <v>5125</v>
      </c>
      <c r="I345" s="12" t="str">
        <f t="shared" si="32"/>
        <v>No</v>
      </c>
      <c r="J345" s="33"/>
      <c r="K345" s="33"/>
      <c r="L345" s="33"/>
      <c r="M345" s="33"/>
      <c r="N345" s="33" t="str">
        <f t="shared" si="33"/>
        <v>Large</v>
      </c>
      <c r="O345" s="33" t="str">
        <f t="shared" si="34"/>
        <v>West</v>
      </c>
      <c r="P345" s="33">
        <f t="shared" si="35"/>
        <v>1</v>
      </c>
      <c r="Q345" s="12">
        <f t="shared" si="36"/>
        <v>0</v>
      </c>
    </row>
  </sheetData>
  <sheetProtection formatCells="0" formatColumns="0" formatRows="0" insertColumns="0" insertRows="0" insertHyperlinks="0" deleteColumns="0" deleteRows="0" sort="0" autoFilter="0" pivotTables="0"/>
  <mergeCells count="114">
    <mergeCell ref="Y58:Z58"/>
    <mergeCell ref="V58:X58"/>
    <mergeCell ref="AI50:AQ50"/>
    <mergeCell ref="AI44:AQ44"/>
    <mergeCell ref="AI45:AQ45"/>
    <mergeCell ref="AI46:AQ46"/>
    <mergeCell ref="AI47:AQ47"/>
    <mergeCell ref="AI48:AQ48"/>
    <mergeCell ref="AI39:AQ39"/>
    <mergeCell ref="AI40:AQ40"/>
    <mergeCell ref="AI41:AQ41"/>
    <mergeCell ref="AI42:AQ42"/>
    <mergeCell ref="AI43:AQ43"/>
    <mergeCell ref="U42:V42"/>
    <mergeCell ref="AC43:AG43"/>
    <mergeCell ref="AI37:AQ37"/>
    <mergeCell ref="AI31:AQ31"/>
    <mergeCell ref="AI32:AQ32"/>
    <mergeCell ref="AI33:AQ33"/>
    <mergeCell ref="AI34:AQ34"/>
    <mergeCell ref="AI35:AQ35"/>
    <mergeCell ref="AI38:AQ38"/>
    <mergeCell ref="AI36:AQ36"/>
    <mergeCell ref="AI49:AQ49"/>
    <mergeCell ref="AI20:AQ20"/>
    <mergeCell ref="AI21:AQ21"/>
    <mergeCell ref="AI22:AQ22"/>
    <mergeCell ref="T23:V23"/>
    <mergeCell ref="AI23:AQ23"/>
    <mergeCell ref="AI29:AQ29"/>
    <mergeCell ref="AI30:AQ30"/>
    <mergeCell ref="AI24:AQ24"/>
    <mergeCell ref="AI27:AQ27"/>
    <mergeCell ref="AI28:AQ28"/>
    <mergeCell ref="AI25:AQ25"/>
    <mergeCell ref="AI26:AQ26"/>
    <mergeCell ref="AA24:AD24"/>
    <mergeCell ref="AA28:AD28"/>
    <mergeCell ref="R2:S2"/>
    <mergeCell ref="R7:S7"/>
    <mergeCell ref="R13:S13"/>
    <mergeCell ref="R19:S19"/>
    <mergeCell ref="AI2:AN2"/>
    <mergeCell ref="AI4:AP4"/>
    <mergeCell ref="AI5:AO5"/>
    <mergeCell ref="AI6:AO6"/>
    <mergeCell ref="AI7:AO7"/>
    <mergeCell ref="AI3:AO3"/>
    <mergeCell ref="AI8:AO8"/>
    <mergeCell ref="AI9:AO9"/>
    <mergeCell ref="AI10:AO10"/>
    <mergeCell ref="AI11:AO11"/>
    <mergeCell ref="AI12:AO12"/>
    <mergeCell ref="Z2:AH2"/>
    <mergeCell ref="AI13:AQ13"/>
    <mergeCell ref="AI14:AO14"/>
    <mergeCell ref="AI15:AQ15"/>
    <mergeCell ref="AI16:AQ16"/>
    <mergeCell ref="AI17:AQ17"/>
    <mergeCell ref="AI19:AQ19"/>
    <mergeCell ref="AI18:AQ18"/>
    <mergeCell ref="W2:Y2"/>
    <mergeCell ref="T2:V2"/>
    <mergeCell ref="T3:V3"/>
    <mergeCell ref="U4:V4"/>
    <mergeCell ref="U5:V5"/>
    <mergeCell ref="U6:V6"/>
    <mergeCell ref="T7:V7"/>
    <mergeCell ref="U8:V8"/>
    <mergeCell ref="U9:V9"/>
    <mergeCell ref="U10:V10"/>
    <mergeCell ref="X34:AD34"/>
    <mergeCell ref="X36:Y36"/>
    <mergeCell ref="X39:AB39"/>
    <mergeCell ref="X40:AA40"/>
    <mergeCell ref="X41:AA41"/>
    <mergeCell ref="X35:AG35"/>
    <mergeCell ref="X42:Y42"/>
    <mergeCell ref="T21:V21"/>
    <mergeCell ref="T11:V11"/>
    <mergeCell ref="R27:S27"/>
    <mergeCell ref="T25:V25"/>
    <mergeCell ref="T31:V31"/>
    <mergeCell ref="T33:V33"/>
    <mergeCell ref="T35:V35"/>
    <mergeCell ref="T29:V29"/>
    <mergeCell ref="T27:V27"/>
    <mergeCell ref="U40:V40"/>
    <mergeCell ref="U41:V41"/>
    <mergeCell ref="R38:S38"/>
    <mergeCell ref="R31:S31"/>
    <mergeCell ref="R23:S23"/>
    <mergeCell ref="Z3:AH3"/>
    <mergeCell ref="Z4:AH4"/>
    <mergeCell ref="Z5:AH5"/>
    <mergeCell ref="Z6:AH6"/>
    <mergeCell ref="Z7:AH7"/>
    <mergeCell ref="AA16:AD16"/>
    <mergeCell ref="T14:U14"/>
    <mergeCell ref="T16:U16"/>
    <mergeCell ref="T18:V18"/>
    <mergeCell ref="X17:Y17"/>
    <mergeCell ref="AA20:AD20"/>
    <mergeCell ref="Z8:AD8"/>
    <mergeCell ref="Z14:AH14"/>
    <mergeCell ref="Z15:AH15"/>
    <mergeCell ref="AF13:AG13"/>
    <mergeCell ref="Z9:AD9"/>
    <mergeCell ref="Z10:AD10"/>
    <mergeCell ref="Z11:AD11"/>
    <mergeCell ref="Z12:AE12"/>
    <mergeCell ref="Z13:AE13"/>
    <mergeCell ref="T19:V19"/>
    <mergeCell ref="T12:U12"/>
  </mergeCells>
  <conditionalFormatting sqref="A1:G1048576 I1:I1048576">
    <cfRule type="containsBlanks" dxfId="6" priority="14">
      <formula>LEN(TRIM(A1))=0</formula>
    </cfRule>
    <cfRule type="containsBlanks" dxfId="5" priority="15">
      <formula>LEN(TRIM(A1))=0</formula>
    </cfRule>
    <cfRule type="containsBlanks" dxfId="4" priority="16">
      <formula>LEN(TRIM(A1))=0</formula>
    </cfRule>
  </conditionalFormatting>
  <conditionalFormatting sqref="A1:G1048576 R1:XFD1 I1:I1048576 AO2:XFD2 R2:Z15 AI2:AI15 AP3:XFD3 AQ4:XFD12 AP5:AP12 AR13:XFD13 AP14:XFD14 AS15:XFD24 R16:AA16 AE16:AF16 R17:X17 Z17 AA17:AF19 R18:Z18 W19:Z33 R19:V36 AA20 AE20:AF20 AA21:AF23 AA24 AE24:AF24 AA25:AF27 AR25:XFD57 AA28 AE28:AF28 AA29:AF32 AG31:AH32 AI31:AI33 AA33 AE34:AI34 W34:X36 AH35:AI35 Z36 AA36:AI38 T37:V37 W37:Z38 R38:V1048576 AC39:AI39 W39:X42 AB40:AH41 Z42:AH42 AA43:AC43 AH43 W43:Z57 AA44:AH54 AA55:AI57 Y58 AA58:XFD1048576 W59:Z1048576">
    <cfRule type="containsBlanks" dxfId="3" priority="18">
      <formula>LEN(TRIM(A1))=0</formula>
    </cfRule>
  </conditionalFormatting>
  <conditionalFormatting sqref="A2:G345 I2:I345">
    <cfRule type="containsBlanks" dxfId="2" priority="17">
      <formula>LEN(TRIM(A2))=0</formula>
    </cfRule>
  </conditionalFormatting>
  <conditionalFormatting sqref="C5">
    <cfRule type="containsBlanks" dxfId="1" priority="13">
      <formula>LEN(TRIM(C5))=0</formula>
    </cfRule>
  </conditionalFormatting>
  <conditionalFormatting sqref="F2:F343">
    <cfRule type="top10" dxfId="0" priority="4" percent="1" rank="5"/>
  </conditionalFormatting>
  <conditionalFormatting sqref="R1:XFD7 A1:G1048576 I1:I1048576 R21:XFD23 AE20:XFD20 R20:AA20 R25:XFD27 AE24:XFD24 R24:AA24 R29:XFD33 AE28:XFD28 R28:AA28 R16:XFD19 AI11:XFD15 R8:Z13 AE8:XFD10 R14:AH15 R59:XFD1048576 AR39:XFD57 R55:AI57 R44:AH54 R37:XFD38 AE34:XFD34 R34:X36 Z36:XFD36 AC39:AI39 AB40:AH41 AH35:XFD35 R39:X42 Z42:AH42 R43:AC43 AH43 R58:V58 AA58:XFD58 Y58">
    <cfRule type="colorScale" priority="32">
      <colorScale>
        <cfvo type="min"/>
        <cfvo type="max"/>
        <color rgb="FFFFEF9C"/>
        <color rgb="FF63BE7B"/>
      </colorScale>
    </cfRule>
    <cfRule type="colorScale" priority="33">
      <colorScale>
        <cfvo type="min"/>
        <cfvo type="percentile" val="50"/>
        <cfvo type="max"/>
        <color rgb="FFF8696B"/>
        <color rgb="FFFFEB84"/>
        <color rgb="FF63BE7B"/>
      </colorScale>
    </cfRule>
  </conditionalFormatting>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penguins_size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Tyren Mutugi</cp:lastModifiedBy>
  <dcterms:created xsi:type="dcterms:W3CDTF">2026-01-25T05:15:21Z</dcterms:created>
  <dcterms:modified xsi:type="dcterms:W3CDTF">2026-03-30T11:31:04Z</dcterms:modified>
</cp:coreProperties>
</file>