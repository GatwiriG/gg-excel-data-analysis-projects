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hidePivotFieldList="1"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13_ncr:1_{7F83DAC5-0010-4426-B237-1EBE77A418A5}" xr6:coauthVersionLast="47" xr6:coauthVersionMax="47" xr10:uidLastSave="{00000000-0000-0000-0000-000000000000}"/>
  <bookViews>
    <workbookView xWindow="384" yWindow="588" windowWidth="22764" windowHeight="11700" activeTab="2" xr2:uid="{C1A3654A-676B-40CE-993D-28CA27448C1C}"/>
  </bookViews>
  <sheets>
    <sheet name="healthcare_dataset" sheetId="1" r:id="rId1"/>
    <sheet name="Pivot" sheetId="2" r:id="rId2"/>
    <sheet name="Dashboard" sheetId="7" r:id="rId3"/>
  </sheets>
  <definedNames>
    <definedName name="_xlnm._FilterDatabase" localSheetId="0" hidden="1">healthcare_dataset!$A$1:$P$101</definedName>
    <definedName name="Slicer_Age_Group">#N/A</definedName>
    <definedName name="Slicer_Diabetes">#N/A</definedName>
    <definedName name="Slicer_Gender">#N/A</definedName>
    <definedName name="Slicer_Smoking_Status">#N/A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101" i="1" l="1"/>
  <c r="G101" i="1"/>
  <c r="C101" i="1"/>
  <c r="J100" i="1"/>
  <c r="G100" i="1"/>
  <c r="C100" i="1"/>
  <c r="J99" i="1"/>
  <c r="G99" i="1"/>
  <c r="C99" i="1"/>
  <c r="J98" i="1"/>
  <c r="G98" i="1"/>
  <c r="C98" i="1"/>
  <c r="J97" i="1"/>
  <c r="G97" i="1"/>
  <c r="C97" i="1"/>
  <c r="J96" i="1"/>
  <c r="G96" i="1"/>
  <c r="C96" i="1"/>
  <c r="J95" i="1"/>
  <c r="G95" i="1"/>
  <c r="C95" i="1"/>
  <c r="J94" i="1"/>
  <c r="G94" i="1"/>
  <c r="C94" i="1"/>
  <c r="J93" i="1"/>
  <c r="G93" i="1"/>
  <c r="C93" i="1"/>
  <c r="J92" i="1"/>
  <c r="G92" i="1"/>
  <c r="C92" i="1"/>
  <c r="J91" i="1"/>
  <c r="G91" i="1"/>
  <c r="C91" i="1"/>
  <c r="J90" i="1"/>
  <c r="G90" i="1"/>
  <c r="C90" i="1"/>
  <c r="J89" i="1"/>
  <c r="G89" i="1"/>
  <c r="C89" i="1"/>
  <c r="J88" i="1"/>
  <c r="G88" i="1"/>
  <c r="C88" i="1"/>
  <c r="J87" i="1"/>
  <c r="G87" i="1"/>
  <c r="C87" i="1"/>
  <c r="J86" i="1"/>
  <c r="G86" i="1"/>
  <c r="C86" i="1"/>
  <c r="J85" i="1"/>
  <c r="G85" i="1"/>
  <c r="C85" i="1"/>
  <c r="J84" i="1"/>
  <c r="G84" i="1"/>
  <c r="C84" i="1"/>
  <c r="J83" i="1"/>
  <c r="G83" i="1"/>
  <c r="C83" i="1"/>
  <c r="J82" i="1"/>
  <c r="G82" i="1"/>
  <c r="C82" i="1"/>
  <c r="J81" i="1"/>
  <c r="G81" i="1"/>
  <c r="C81" i="1"/>
  <c r="J80" i="1"/>
  <c r="G80" i="1"/>
  <c r="C80" i="1"/>
  <c r="J79" i="1"/>
  <c r="G79" i="1"/>
  <c r="C79" i="1"/>
  <c r="J78" i="1"/>
  <c r="G78" i="1"/>
  <c r="C78" i="1"/>
  <c r="J77" i="1"/>
  <c r="G77" i="1"/>
  <c r="C77" i="1"/>
  <c r="J76" i="1"/>
  <c r="G76" i="1"/>
  <c r="C76" i="1"/>
  <c r="J75" i="1"/>
  <c r="G75" i="1"/>
  <c r="C75" i="1"/>
  <c r="J74" i="1"/>
  <c r="G74" i="1"/>
  <c r="C74" i="1"/>
  <c r="J73" i="1"/>
  <c r="G73" i="1"/>
  <c r="C73" i="1"/>
  <c r="J72" i="1"/>
  <c r="G72" i="1"/>
  <c r="C72" i="1"/>
  <c r="J71" i="1"/>
  <c r="G71" i="1"/>
  <c r="C71" i="1"/>
  <c r="J70" i="1"/>
  <c r="G70" i="1"/>
  <c r="C70" i="1"/>
  <c r="J69" i="1"/>
  <c r="G69" i="1"/>
  <c r="C69" i="1"/>
  <c r="J68" i="1"/>
  <c r="G68" i="1"/>
  <c r="C68" i="1"/>
  <c r="J67" i="1"/>
  <c r="G67" i="1"/>
  <c r="C67" i="1"/>
  <c r="J66" i="1"/>
  <c r="G66" i="1"/>
  <c r="C66" i="1"/>
  <c r="J65" i="1"/>
  <c r="G65" i="1"/>
  <c r="C65" i="1"/>
  <c r="J64" i="1"/>
  <c r="G64" i="1"/>
  <c r="C64" i="1"/>
  <c r="J63" i="1"/>
  <c r="G63" i="1"/>
  <c r="C63" i="1"/>
  <c r="J62" i="1"/>
  <c r="G62" i="1"/>
  <c r="C62" i="1"/>
  <c r="J61" i="1"/>
  <c r="G61" i="1"/>
  <c r="C61" i="1"/>
  <c r="J60" i="1"/>
  <c r="G60" i="1"/>
  <c r="C60" i="1"/>
  <c r="J59" i="1"/>
  <c r="G59" i="1"/>
  <c r="C59" i="1"/>
  <c r="J58" i="1"/>
  <c r="G58" i="1"/>
  <c r="C58" i="1"/>
  <c r="J57" i="1"/>
  <c r="G57" i="1"/>
  <c r="C57" i="1"/>
  <c r="J56" i="1"/>
  <c r="G56" i="1"/>
  <c r="C56" i="1"/>
  <c r="J55" i="1"/>
  <c r="G55" i="1"/>
  <c r="C55" i="1"/>
  <c r="J54" i="1"/>
  <c r="G54" i="1"/>
  <c r="C54" i="1"/>
  <c r="J53" i="1"/>
  <c r="G53" i="1"/>
  <c r="C53" i="1"/>
  <c r="J52" i="1"/>
  <c r="G52" i="1"/>
  <c r="C52" i="1"/>
  <c r="J51" i="1"/>
  <c r="G51" i="1"/>
  <c r="C51" i="1"/>
  <c r="J50" i="1"/>
  <c r="G50" i="1"/>
  <c r="C50" i="1"/>
  <c r="J49" i="1"/>
  <c r="G49" i="1"/>
  <c r="C49" i="1"/>
  <c r="J48" i="1"/>
  <c r="G48" i="1"/>
  <c r="C48" i="1"/>
  <c r="J47" i="1"/>
  <c r="G47" i="1"/>
  <c r="C47" i="1"/>
  <c r="J46" i="1"/>
  <c r="G46" i="1"/>
  <c r="C46" i="1"/>
  <c r="J45" i="1"/>
  <c r="G45" i="1"/>
  <c r="C45" i="1"/>
  <c r="J44" i="1"/>
  <c r="G44" i="1"/>
  <c r="C44" i="1"/>
  <c r="J43" i="1"/>
  <c r="G43" i="1"/>
  <c r="C43" i="1"/>
  <c r="J42" i="1"/>
  <c r="G42" i="1"/>
  <c r="C42" i="1"/>
  <c r="J41" i="1"/>
  <c r="G41" i="1"/>
  <c r="C41" i="1"/>
  <c r="J40" i="1"/>
  <c r="G40" i="1"/>
  <c r="C40" i="1"/>
  <c r="J39" i="1"/>
  <c r="G39" i="1"/>
  <c r="C39" i="1"/>
  <c r="J38" i="1"/>
  <c r="G38" i="1"/>
  <c r="C38" i="1"/>
  <c r="J37" i="1"/>
  <c r="G37" i="1"/>
  <c r="C37" i="1"/>
  <c r="J36" i="1"/>
  <c r="G36" i="1"/>
  <c r="C36" i="1"/>
  <c r="J35" i="1"/>
  <c r="G35" i="1"/>
  <c r="C35" i="1"/>
  <c r="J34" i="1"/>
  <c r="G34" i="1"/>
  <c r="C34" i="1"/>
  <c r="J33" i="1"/>
  <c r="G33" i="1"/>
  <c r="C33" i="1"/>
  <c r="J32" i="1"/>
  <c r="G32" i="1"/>
  <c r="C32" i="1"/>
  <c r="J31" i="1"/>
  <c r="G31" i="1"/>
  <c r="C31" i="1"/>
  <c r="J30" i="1"/>
  <c r="G30" i="1"/>
  <c r="C30" i="1"/>
  <c r="J29" i="1"/>
  <c r="G29" i="1"/>
  <c r="C29" i="1"/>
  <c r="J28" i="1"/>
  <c r="G28" i="1"/>
  <c r="C28" i="1"/>
  <c r="J27" i="1"/>
  <c r="G27" i="1"/>
  <c r="C27" i="1"/>
  <c r="J26" i="1"/>
  <c r="G26" i="1"/>
  <c r="C26" i="1"/>
  <c r="J25" i="1"/>
  <c r="G25" i="1"/>
  <c r="C25" i="1"/>
  <c r="J24" i="1"/>
  <c r="G24" i="1"/>
  <c r="C24" i="1"/>
  <c r="J23" i="1"/>
  <c r="G23" i="1"/>
  <c r="C23" i="1"/>
  <c r="J22" i="1"/>
  <c r="G22" i="1"/>
  <c r="C22" i="1"/>
  <c r="J21" i="1"/>
  <c r="G21" i="1"/>
  <c r="C21" i="1"/>
  <c r="J20" i="1"/>
  <c r="G20" i="1"/>
  <c r="C20" i="1"/>
  <c r="J19" i="1"/>
  <c r="G19" i="1"/>
  <c r="C19" i="1"/>
  <c r="J18" i="1"/>
  <c r="G18" i="1"/>
  <c r="C18" i="1"/>
  <c r="J17" i="1"/>
  <c r="G17" i="1"/>
  <c r="C17" i="1"/>
  <c r="J16" i="1"/>
  <c r="G16" i="1"/>
  <c r="C16" i="1"/>
  <c r="J15" i="1"/>
  <c r="G15" i="1"/>
  <c r="C15" i="1"/>
  <c r="J14" i="1"/>
  <c r="G14" i="1"/>
  <c r="C14" i="1"/>
  <c r="J13" i="1"/>
  <c r="G13" i="1"/>
  <c r="C13" i="1"/>
  <c r="U12" i="1"/>
  <c r="J12" i="1"/>
  <c r="G12" i="1"/>
  <c r="C12" i="1"/>
  <c r="U11" i="1"/>
  <c r="J11" i="1"/>
  <c r="G11" i="1"/>
  <c r="C11" i="1"/>
  <c r="U10" i="1"/>
  <c r="J10" i="1"/>
  <c r="G10" i="1"/>
  <c r="C10" i="1"/>
  <c r="U9" i="1"/>
  <c r="J9" i="1"/>
  <c r="G9" i="1"/>
  <c r="C9" i="1"/>
  <c r="U8" i="1"/>
  <c r="J8" i="1"/>
  <c r="G8" i="1"/>
  <c r="C8" i="1"/>
  <c r="U7" i="1"/>
  <c r="J7" i="1"/>
  <c r="G7" i="1"/>
  <c r="C7" i="1"/>
  <c r="U6" i="1"/>
  <c r="J6" i="1"/>
  <c r="G6" i="1"/>
  <c r="C6" i="1"/>
  <c r="U5" i="1"/>
  <c r="J5" i="1"/>
  <c r="G5" i="1"/>
  <c r="C5" i="1"/>
  <c r="U4" i="1"/>
  <c r="J4" i="1"/>
  <c r="G4" i="1"/>
  <c r="C4" i="1"/>
  <c r="U3" i="1"/>
  <c r="J3" i="1"/>
  <c r="G3" i="1"/>
  <c r="C3" i="1"/>
  <c r="J2" i="1"/>
  <c r="G2" i="1"/>
  <c r="C2" i="1"/>
</calcChain>
</file>

<file path=xl/sharedStrings.xml><?xml version="1.0" encoding="utf-8"?>
<sst xmlns="http://schemas.openxmlformats.org/spreadsheetml/2006/main" count="867" uniqueCount="186">
  <si>
    <t>Patient_ID</t>
  </si>
  <si>
    <t>Age</t>
  </si>
  <si>
    <t>Gender</t>
  </si>
  <si>
    <t>BMI</t>
  </si>
  <si>
    <t>Blood_Pressure</t>
  </si>
  <si>
    <t>Cholesterol_Level</t>
  </si>
  <si>
    <t>Diabetes</t>
  </si>
  <si>
    <t>Hospital_Visits_Per_Year</t>
  </si>
  <si>
    <t>Medication_Adherence</t>
  </si>
  <si>
    <t>Smoking_Status</t>
  </si>
  <si>
    <t>Exercise_Frequency</t>
  </si>
  <si>
    <t>P001</t>
  </si>
  <si>
    <t>Male</t>
  </si>
  <si>
    <t>Hypertension</t>
  </si>
  <si>
    <t>Normal</t>
  </si>
  <si>
    <t>No</t>
  </si>
  <si>
    <t>Poor</t>
  </si>
  <si>
    <t>Non-Smoker</t>
  </si>
  <si>
    <t>P002</t>
  </si>
  <si>
    <t>Female</t>
  </si>
  <si>
    <t>Good</t>
  </si>
  <si>
    <t>Smoker</t>
  </si>
  <si>
    <t>P003</t>
  </si>
  <si>
    <t>Low</t>
  </si>
  <si>
    <t>P004</t>
  </si>
  <si>
    <t>High</t>
  </si>
  <si>
    <t>P005</t>
  </si>
  <si>
    <t>Prehypertension</t>
  </si>
  <si>
    <t>P006</t>
  </si>
  <si>
    <t>P007</t>
  </si>
  <si>
    <t>Moderate</t>
  </si>
  <si>
    <t>P008</t>
  </si>
  <si>
    <t>P009</t>
  </si>
  <si>
    <t>P010</t>
  </si>
  <si>
    <t>P011</t>
  </si>
  <si>
    <t>P012</t>
  </si>
  <si>
    <t>P013</t>
  </si>
  <si>
    <t>P014</t>
  </si>
  <si>
    <t>P015</t>
  </si>
  <si>
    <t>P016</t>
  </si>
  <si>
    <t>P017</t>
  </si>
  <si>
    <t>P018</t>
  </si>
  <si>
    <t>P019</t>
  </si>
  <si>
    <t>P020</t>
  </si>
  <si>
    <t>P021</t>
  </si>
  <si>
    <t>P022</t>
  </si>
  <si>
    <t>P023</t>
  </si>
  <si>
    <t>P024</t>
  </si>
  <si>
    <t>P025</t>
  </si>
  <si>
    <t>Yes</t>
  </si>
  <si>
    <t>P026</t>
  </si>
  <si>
    <t>P027</t>
  </si>
  <si>
    <t>P028</t>
  </si>
  <si>
    <t>P029</t>
  </si>
  <si>
    <t>P030</t>
  </si>
  <si>
    <t>P031</t>
  </si>
  <si>
    <t>P032</t>
  </si>
  <si>
    <t>P033</t>
  </si>
  <si>
    <t>P034</t>
  </si>
  <si>
    <t>P035</t>
  </si>
  <si>
    <t>P036</t>
  </si>
  <si>
    <t>P037</t>
  </si>
  <si>
    <t>P038</t>
  </si>
  <si>
    <t>P039</t>
  </si>
  <si>
    <t>P040</t>
  </si>
  <si>
    <t>P041</t>
  </si>
  <si>
    <t>P042</t>
  </si>
  <si>
    <t>P043</t>
  </si>
  <si>
    <t>P044</t>
  </si>
  <si>
    <t>P045</t>
  </si>
  <si>
    <t>P046</t>
  </si>
  <si>
    <t>P047</t>
  </si>
  <si>
    <t>P048</t>
  </si>
  <si>
    <t>P049</t>
  </si>
  <si>
    <t>P050</t>
  </si>
  <si>
    <t>P051</t>
  </si>
  <si>
    <t>P052</t>
  </si>
  <si>
    <t>P053</t>
  </si>
  <si>
    <t>P054</t>
  </si>
  <si>
    <t>P055</t>
  </si>
  <si>
    <t>P056</t>
  </si>
  <si>
    <t>P057</t>
  </si>
  <si>
    <t>P058</t>
  </si>
  <si>
    <t>P059</t>
  </si>
  <si>
    <t>P060</t>
  </si>
  <si>
    <t>P061</t>
  </si>
  <si>
    <t>P062</t>
  </si>
  <si>
    <t>P063</t>
  </si>
  <si>
    <t>P064</t>
  </si>
  <si>
    <t>P065</t>
  </si>
  <si>
    <t>P066</t>
  </si>
  <si>
    <t>P067</t>
  </si>
  <si>
    <t>P068</t>
  </si>
  <si>
    <t>P069</t>
  </si>
  <si>
    <t>P070</t>
  </si>
  <si>
    <t>P071</t>
  </si>
  <si>
    <t>P072</t>
  </si>
  <si>
    <t>P073</t>
  </si>
  <si>
    <t>P074</t>
  </si>
  <si>
    <t>P075</t>
  </si>
  <si>
    <t>P076</t>
  </si>
  <si>
    <t>P077</t>
  </si>
  <si>
    <t>P078</t>
  </si>
  <si>
    <t>P079</t>
  </si>
  <si>
    <t>P080</t>
  </si>
  <si>
    <t>P081</t>
  </si>
  <si>
    <t>P082</t>
  </si>
  <si>
    <t>P083</t>
  </si>
  <si>
    <t>P084</t>
  </si>
  <si>
    <t>P085</t>
  </si>
  <si>
    <t>P086</t>
  </si>
  <si>
    <t>P087</t>
  </si>
  <si>
    <t>P088</t>
  </si>
  <si>
    <t>P089</t>
  </si>
  <si>
    <t>P090</t>
  </si>
  <si>
    <t>P091</t>
  </si>
  <si>
    <t>P092</t>
  </si>
  <si>
    <t>P093</t>
  </si>
  <si>
    <t>P094</t>
  </si>
  <si>
    <t>P095</t>
  </si>
  <si>
    <t>P096</t>
  </si>
  <si>
    <t>P097</t>
  </si>
  <si>
    <t>P098</t>
  </si>
  <si>
    <t>P099</t>
  </si>
  <si>
    <t>P100</t>
  </si>
  <si>
    <t>AGE</t>
  </si>
  <si>
    <t>GENDER</t>
  </si>
  <si>
    <t>BLOOD_PRESSURE</t>
  </si>
  <si>
    <t>CHOLESTEROL_LEVEL</t>
  </si>
  <si>
    <t>DIABETES</t>
  </si>
  <si>
    <t>HOSP_VISITS_PER_YEAR</t>
  </si>
  <si>
    <t>MEDICATION_ADHERENCE</t>
  </si>
  <si>
    <t>SMOKING_STATUS</t>
  </si>
  <si>
    <t>EXERCISE_FREQUENCY</t>
  </si>
  <si>
    <r>
      <rPr>
        <sz val="11"/>
        <color rgb="FFFF0000"/>
        <rFont val="Calibri"/>
        <family val="2"/>
        <scheme val="minor"/>
      </rPr>
      <t xml:space="preserve">                   </t>
    </r>
    <r>
      <rPr>
        <b/>
        <sz val="11"/>
        <color rgb="FFFF0000"/>
        <rFont val="Calibri"/>
        <family val="2"/>
        <scheme val="minor"/>
      </rPr>
      <t xml:space="preserve">  NUMBER OF BLANKS</t>
    </r>
  </si>
  <si>
    <t>How many people have diabetes</t>
  </si>
  <si>
    <t>Row Labels</t>
  </si>
  <si>
    <t>(blank)</t>
  </si>
  <si>
    <t>Grand Total</t>
  </si>
  <si>
    <t>Count of Patient_ID</t>
  </si>
  <si>
    <t>Max of Age</t>
  </si>
  <si>
    <t>Max of Age2</t>
  </si>
  <si>
    <t>Min of Age</t>
  </si>
  <si>
    <t>Max and min ages</t>
  </si>
  <si>
    <t>Max and min BMI</t>
  </si>
  <si>
    <t>Max of BMI</t>
  </si>
  <si>
    <t>Min of BMI2</t>
  </si>
  <si>
    <t>Blood pressure count</t>
  </si>
  <si>
    <t>Cholesterol levels</t>
  </si>
  <si>
    <t>Number of diabetes</t>
  </si>
  <si>
    <t>Hospital visits</t>
  </si>
  <si>
    <t>Medication adherence</t>
  </si>
  <si>
    <t>Smoking Status</t>
  </si>
  <si>
    <t>Exercise frequency</t>
  </si>
  <si>
    <t>Min of Age2</t>
  </si>
  <si>
    <t>Which gender has max and min age</t>
  </si>
  <si>
    <t>Column Labels</t>
  </si>
  <si>
    <t>How many males and females have diabetes</t>
  </si>
  <si>
    <t>BMI Value</t>
  </si>
  <si>
    <t>Category</t>
  </si>
  <si>
    <t>underweight</t>
  </si>
  <si>
    <t>Overweight</t>
  </si>
  <si>
    <t>Obese</t>
  </si>
  <si>
    <t xml:space="preserve"> Value</t>
  </si>
  <si>
    <t xml:space="preserve">How many males and females </t>
  </si>
  <si>
    <t>Average of Hospital_Visits_Per_Year2</t>
  </si>
  <si>
    <t>Does exercise reduce number of hospital visits?</t>
  </si>
  <si>
    <t>Smoking vs Diabetes</t>
  </si>
  <si>
    <t>Age Group</t>
  </si>
  <si>
    <t>Adult</t>
  </si>
  <si>
    <t>Senior</t>
  </si>
  <si>
    <t>Young</t>
  </si>
  <si>
    <t>Average hospital visits with age group</t>
  </si>
  <si>
    <t>blank</t>
  </si>
  <si>
    <r>
      <rPr>
        <b/>
        <sz val="11"/>
        <color rgb="FFFF0000"/>
        <rFont val="Calibri"/>
        <family val="2"/>
        <scheme val="minor"/>
      </rPr>
      <t>Hospital visits per age gro</t>
    </r>
    <r>
      <rPr>
        <sz val="11"/>
        <color rgb="FFFF0000"/>
        <rFont val="Calibri"/>
        <family val="2"/>
        <scheme val="minor"/>
      </rPr>
      <t>up</t>
    </r>
  </si>
  <si>
    <t>Which age group smokes a lot</t>
  </si>
  <si>
    <t>Average of Exercise_Frequency</t>
  </si>
  <si>
    <t>Smoking vs BMI</t>
  </si>
  <si>
    <t>Diabetes Vs BMI</t>
  </si>
  <si>
    <t>Does exercise reduce BMI?</t>
  </si>
  <si>
    <t>BMI distribution</t>
  </si>
  <si>
    <t>Exercise Frequency VS diabetes</t>
  </si>
  <si>
    <t>BP_Value</t>
  </si>
  <si>
    <t>Average of BP_Value</t>
  </si>
  <si>
    <t>Average BP with Age group</t>
  </si>
  <si>
    <t>Average of Hospital_Visits_Per_Year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</si>
</sst>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rgb="FFFF0000"/>
      <name val="Calibri"/>
      <family val="2"/>
      <scheme val="minor"/>
    </font>
    <font>
      <sz val="11"/>
      <color theme="1" tint="0.249977111117893"/>
      <name val="Calibri"/>
      <family val="2"/>
      <scheme val="minor"/>
    </font>
    <font>
      <sz val="11"/>
      <color theme="1" tint="0.34998626667073579"/>
      <name val="Calibri"/>
      <family val="2"/>
      <scheme val="minor"/>
    </font>
  </fonts>
  <fills count="4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39997558519241921"/>
        <bgColor indexed="64"/>
      </patternFill>
    </fill>
    <fill>
      <patternFill patternType="solid">
        <fgColor theme="0"/>
        <bgColor indexed="64"/>
      </patternFill>
    </fill>
    <fill>
      <patternFill patternType="solid">
        <fgColor theme="2"/>
        <bgColor indexed="64"/>
      </patternFill>
    </fill>
    <fill>
      <patternFill patternType="solid">
        <fgColor theme="1" tint="0.34998626667073579"/>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theme="1" tint="0.249977111117893"/>
        <bgColor indexed="64"/>
      </patternFill>
    </fill>
    <fill>
      <patternFill patternType="solid">
        <fgColor theme="1" tint="0.499984740745262"/>
        <bgColor indexed="64"/>
      </patternFill>
    </fill>
    <fill>
      <patternFill patternType="solid">
        <fgColor theme="2" tint="-0.499984740745262"/>
        <bgColor indexed="64"/>
      </patternFill>
    </fill>
    <fill>
      <patternFill patternType="solid">
        <fgColor theme="0" tint="-4.9989318521683403E-2"/>
        <bgColor indexed="64"/>
      </patternFill>
    </fill>
    <fill>
      <patternFill patternType="solid">
        <fgColor theme="9"/>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5">
    <xf numFmtId="0" fontId="0" fillId="0" borderId="0" xfId="0"/>
    <xf numFmtId="0" fontId="9" fillId="5" borderId="4" xfId="9"/>
    <xf numFmtId="0" fontId="9" fillId="5" borderId="4" xfId="9" applyAlignment="1">
      <alignment vertical="center"/>
    </xf>
    <xf numFmtId="0" fontId="0" fillId="0" borderId="0" xfId="0" applyAlignment="1">
      <alignment vertical="center"/>
    </xf>
    <xf numFmtId="0" fontId="0" fillId="33" borderId="0" xfId="0" applyFill="1"/>
    <xf numFmtId="0" fontId="0" fillId="33" borderId="0" xfId="0" applyFill="1" applyAlignment="1">
      <alignment vertical="center"/>
    </xf>
    <xf numFmtId="0" fontId="9" fillId="34" borderId="4" xfId="9" applyFill="1"/>
    <xf numFmtId="0" fontId="14" fillId="0" borderId="0" xfId="0" applyFont="1"/>
    <xf numFmtId="0" fontId="0" fillId="35" borderId="0" xfId="0" applyFill="1"/>
    <xf numFmtId="0" fontId="14" fillId="35" borderId="0" xfId="0" applyFont="1" applyFill="1"/>
    <xf numFmtId="0" fontId="0" fillId="35" borderId="0" xfId="0" applyFill="1" applyAlignment="1">
      <alignment horizontal="left"/>
    </xf>
    <xf numFmtId="0" fontId="18" fillId="35" borderId="0" xfId="0" applyFont="1" applyFill="1"/>
    <xf numFmtId="0" fontId="18" fillId="36" borderId="0" xfId="0" applyFont="1" applyFill="1"/>
    <xf numFmtId="0" fontId="0" fillId="36" borderId="0" xfId="0" applyFill="1"/>
    <xf numFmtId="0" fontId="0" fillId="36" borderId="0" xfId="0" applyFill="1" applyAlignment="1">
      <alignment horizontal="left"/>
    </xf>
    <xf numFmtId="0" fontId="9" fillId="37" borderId="4" xfId="9" applyFill="1"/>
    <xf numFmtId="0" fontId="14" fillId="36" borderId="0" xfId="0" applyFont="1" applyFill="1"/>
    <xf numFmtId="2" fontId="0" fillId="36" borderId="0" xfId="0" applyNumberFormat="1" applyFill="1"/>
    <xf numFmtId="0" fontId="19" fillId="5" borderId="4" xfId="9" applyFont="1"/>
    <xf numFmtId="0" fontId="0" fillId="38" borderId="0" xfId="0" applyFill="1"/>
    <xf numFmtId="0" fontId="0" fillId="38" borderId="0" xfId="0" applyFill="1" applyAlignment="1">
      <alignment horizontal="left"/>
    </xf>
    <xf numFmtId="0" fontId="0" fillId="39" borderId="0" xfId="0" applyFill="1"/>
    <xf numFmtId="0" fontId="0" fillId="39" borderId="0" xfId="0" applyFill="1" applyAlignment="1">
      <alignment horizontal="left"/>
    </xf>
    <xf numFmtId="164" fontId="0" fillId="39" borderId="0" xfId="0" applyNumberFormat="1" applyFill="1"/>
    <xf numFmtId="0" fontId="0" fillId="40" borderId="0" xfId="0" applyFill="1" applyAlignment="1">
      <alignment horizontal="left"/>
    </xf>
    <xf numFmtId="0" fontId="18" fillId="36" borderId="0" xfId="0" applyFont="1" applyFill="1" applyAlignment="1">
      <alignment horizontal="left"/>
    </xf>
    <xf numFmtId="0" fontId="18" fillId="0" borderId="0" xfId="0" applyFont="1"/>
    <xf numFmtId="0" fontId="0" fillId="41" borderId="0" xfId="0" applyFill="1" applyAlignment="1">
      <alignment horizontal="left"/>
    </xf>
    <xf numFmtId="0" fontId="18" fillId="42" borderId="0" xfId="0" applyFont="1" applyFill="1"/>
    <xf numFmtId="0" fontId="0" fillId="42" borderId="0" xfId="0" applyFill="1"/>
    <xf numFmtId="0" fontId="0" fillId="42" borderId="0" xfId="0" applyFill="1" applyAlignment="1">
      <alignment horizontal="left"/>
    </xf>
    <xf numFmtId="0" fontId="20" fillId="5" borderId="4" xfId="9" applyFont="1"/>
    <xf numFmtId="0" fontId="14" fillId="0" borderId="0" xfId="0" applyFont="1"/>
    <xf numFmtId="0" fontId="0" fillId="0" borderId="0" xfId="0"/>
    <xf numFmtId="0" fontId="18" fillId="36" borderId="0" xfId="0" applyFont="1" applyFill="1" applyAlignment="1">
      <alignment horizontal="left"/>
    </xf>
    <xf numFmtId="0" fontId="14" fillId="38" borderId="0" xfId="0" applyFont="1" applyFill="1"/>
    <xf numFmtId="0" fontId="14" fillId="36" borderId="0" xfId="0" applyFont="1" applyFill="1"/>
    <xf numFmtId="0" fontId="18" fillId="39" borderId="0" xfId="0" applyFont="1" applyFill="1"/>
    <xf numFmtId="0" fontId="18" fillId="36" borderId="0" xfId="0" applyFont="1" applyFill="1"/>
    <xf numFmtId="0" fontId="18" fillId="0" borderId="0" xfId="0" applyFont="1"/>
    <xf numFmtId="0" fontId="14" fillId="35" borderId="0" xfId="0" applyFont="1" applyFill="1"/>
    <xf numFmtId="0" fontId="18" fillId="35" borderId="0" xfId="0" applyFont="1" applyFill="1"/>
    <xf numFmtId="0" fontId="0" fillId="35" borderId="0" xfId="0" applyFill="1"/>
    <xf numFmtId="0" fontId="0" fillId="43" borderId="0" xfId="0" applyFill="1"/>
    <xf numFmtId="0" fontId="0" fillId="0" borderId="0" xfId="0" applyNumberFormat="1"/>
    <xf numFmtId="0" fontId="0" fillId="36" borderId="0" xfId="0" applyNumberFormat="1" applyFill="1"/>
    <xf numFmtId="0" fontId="0" fillId="36" borderId="0" xfId="0" applyNumberFormat="1" applyFill="1" applyAlignment="1">
      <alignment horizontal="left"/>
    </xf>
    <xf numFmtId="0" fontId="0" fillId="40" borderId="0" xfId="0" applyNumberFormat="1" applyFill="1" applyAlignment="1">
      <alignment horizontal="left"/>
    </xf>
    <xf numFmtId="0" fontId="0" fillId="40" borderId="0" xfId="0" applyNumberFormat="1" applyFill="1"/>
    <xf numFmtId="0" fontId="0" fillId="35" borderId="0" xfId="0" applyNumberFormat="1" applyFill="1"/>
    <xf numFmtId="0" fontId="0" fillId="35" borderId="0" xfId="0" applyNumberFormat="1" applyFill="1" applyAlignment="1">
      <alignment horizontal="left"/>
    </xf>
    <xf numFmtId="0" fontId="0" fillId="41" borderId="0" xfId="0" applyNumberFormat="1" applyFill="1" applyAlignment="1">
      <alignment horizontal="left"/>
    </xf>
    <xf numFmtId="0" fontId="0" fillId="41" borderId="0" xfId="0" applyNumberFormat="1" applyFill="1"/>
    <xf numFmtId="0" fontId="0" fillId="38" borderId="0" xfId="0" applyNumberFormat="1" applyFill="1"/>
    <xf numFmtId="0" fontId="0" fillId="42" borderId="0" xfId="0" applyNumberForma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183">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alignment horizontal="left"/>
    </dxf>
    <dxf>
      <alignment horizontal="left"/>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numFmt numFmtId="2" formatCode="0.00"/>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numFmt numFmtId="2" formatCode="0.00"/>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alignment horizontal="left"/>
    </dxf>
    <dxf>
      <fill>
        <patternFill patternType="solid">
          <bgColor theme="0" tint="-4.9989318521683403E-2"/>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49998474074526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alignment horizontal="left"/>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bgColor theme="2" tint="-0.499984740745262"/>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numFmt numFmtId="164" formatCode="0.000"/>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alignment horizontal="left"/>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bgColor theme="1" tint="0.499984740745262"/>
        </patternFill>
      </fill>
    </dxf>
    <dxf>
      <alignment horizontal="left"/>
    </dxf>
    <dxf>
      <alignment horizontal="left"/>
    </dxf>
    <dxf>
      <alignment horizontal="left"/>
    </dxf>
    <dxf>
      <alignment horizontal="left"/>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bgColor theme="2"/>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2"/>
        </patternFill>
      </fill>
    </dxf>
    <dxf>
      <fill>
        <patternFill>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alignment horizontal="left"/>
    </dxf>
    <dxf>
      <alignment horizontal="left"/>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alignment horizontal="left"/>
    </dxf>
    <dxf>
      <alignment horizontal="left"/>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numFmt numFmtId="2" formatCode="0.00"/>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numFmt numFmtId="2" formatCode="0.00"/>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alignment horizontal="left"/>
    </dxf>
    <dxf>
      <fill>
        <patternFill patternType="solid">
          <bgColor theme="0" tint="-4.9989318521683403E-2"/>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49998474074526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alignment horizontal="left"/>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bgColor theme="2" tint="-0.499984740745262"/>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numFmt numFmtId="164" formatCode="0.000"/>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alignment horizontal="left"/>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bgColor theme="1" tint="0.499984740745262"/>
        </patternFill>
      </fill>
    </dxf>
    <dxf>
      <alignment horizontal="left"/>
    </dxf>
    <dxf>
      <alignment horizontal="left"/>
    </dxf>
    <dxf>
      <alignment horizontal="left"/>
    </dxf>
    <dxf>
      <alignment horizontal="left"/>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bgColor theme="2"/>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2"/>
        </patternFill>
      </fill>
    </dxf>
    <dxf>
      <fill>
        <patternFill>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alignment horizontal="left"/>
    </dxf>
    <dxf>
      <alignment horizontal="left"/>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alignment horizontal="left"/>
    </dxf>
    <dxf>
      <alignment horizontal="left"/>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numFmt numFmtId="2" formatCode="0.00"/>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numFmt numFmtId="2" formatCode="0.00"/>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alignment horizontal="left"/>
    </dxf>
    <dxf>
      <fill>
        <patternFill patternType="solid">
          <bgColor theme="0" tint="-4.9989318521683403E-2"/>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49998474074526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alignment horizontal="left"/>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bgColor theme="2" tint="-0.499984740745262"/>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numFmt numFmtId="164" formatCode="0.000"/>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alignment horizontal="left"/>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bgColor theme="1" tint="0.499984740745262"/>
        </patternFill>
      </fill>
    </dxf>
    <dxf>
      <alignment horizontal="left"/>
    </dxf>
    <dxf>
      <alignment horizontal="left"/>
    </dxf>
    <dxf>
      <alignment horizontal="left"/>
    </dxf>
    <dxf>
      <alignment horizontal="left"/>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bgColor theme="2"/>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2"/>
        </patternFill>
      </fill>
    </dxf>
    <dxf>
      <fill>
        <patternFill>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alignment horizontal="left"/>
    </dxf>
    <dxf>
      <alignment horizontal="left"/>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alignment horizontal="left"/>
    </dxf>
    <dxf>
      <alignment horizontal="left"/>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numFmt numFmtId="2" formatCode="0.00"/>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alignment horizontal="left"/>
    </dxf>
    <dxf>
      <alignment horizontal="left"/>
    </dxf>
    <dxf>
      <numFmt numFmtId="2" formatCode="0.00"/>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alignment horizontal="left"/>
    </dxf>
    <dxf>
      <fill>
        <patternFill patternType="solid">
          <bgColor theme="0" tint="-4.9989318521683403E-2"/>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49998474074526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alignment horizontal="left"/>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bgColor theme="2" tint="-0.499984740745262"/>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numFmt numFmtId="164" formatCode="0.000"/>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alignment horizontal="left"/>
    </dxf>
    <dxf>
      <alignment horizontal="left"/>
    </dxf>
    <dxf>
      <alignment horizontal="left"/>
    </dxf>
    <dxf>
      <alignment horizontal="left"/>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bgColor theme="2"/>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2"/>
        </patternFill>
      </fill>
    </dxf>
    <dxf>
      <fill>
        <patternFill>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alignment horizontal="left"/>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bgColor theme="1" tint="0.49998474074526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alignment horizontal="left"/>
    </dxf>
    <dxf>
      <alignment horizontal="left"/>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numFmt numFmtId="2" formatCode="0.00"/>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alignment horizontal="left"/>
    </dxf>
    <dxf>
      <alignment horizontal="left"/>
    </dxf>
    <dxf>
      <numFmt numFmtId="2" formatCode="0.00"/>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alignment horizontal="left"/>
    </dxf>
    <dxf>
      <fill>
        <patternFill patternType="solid">
          <bgColor theme="0" tint="-4.9989318521683403E-2"/>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49998474074526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alignment horizontal="left"/>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bgColor theme="2" tint="-0.499984740745262"/>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numFmt numFmtId="164" formatCode="0.000"/>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alignment horizontal="left"/>
    </dxf>
    <dxf>
      <alignment horizontal="left"/>
    </dxf>
    <dxf>
      <alignment horizontal="left"/>
    </dxf>
    <dxf>
      <alignment horizontal="left"/>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bgColor theme="2"/>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2"/>
        </patternFill>
      </fill>
    </dxf>
    <dxf>
      <fill>
        <patternFill>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alignment horizontal="left"/>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bgColor theme="1" tint="0.49998474074526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alignment horizontal="left"/>
    </dxf>
    <dxf>
      <alignment horizontal="left"/>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numFmt numFmtId="2" formatCode="0.00"/>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numFmt numFmtId="2" formatCode="0.00"/>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alignment horizontal="left"/>
    </dxf>
    <dxf>
      <fill>
        <patternFill patternType="solid">
          <bgColor theme="0" tint="-4.9989318521683403E-2"/>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49998474074526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alignment horizontal="left"/>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bgColor theme="2" tint="-0.499984740745262"/>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numFmt numFmtId="164" formatCode="0.000"/>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alignment horizontal="left"/>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bgColor theme="1" tint="0.499984740745262"/>
        </patternFill>
      </fill>
    </dxf>
    <dxf>
      <alignment horizontal="left"/>
    </dxf>
    <dxf>
      <alignment horizontal="left"/>
    </dxf>
    <dxf>
      <alignment horizontal="left"/>
    </dxf>
    <dxf>
      <alignment horizontal="left"/>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bgColor theme="2"/>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2"/>
        </patternFill>
      </fill>
    </dxf>
    <dxf>
      <fill>
        <patternFill>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alignment horizontal="left"/>
    </dxf>
    <dxf>
      <alignment horizontal="left"/>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alignment horizontal="left"/>
    </dxf>
    <dxf>
      <alignment horizontal="left"/>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numFmt numFmtId="2" formatCode="0.00"/>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numFmt numFmtId="2" formatCode="0.00"/>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alignment horizontal="left"/>
    </dxf>
    <dxf>
      <fill>
        <patternFill patternType="solid">
          <bgColor theme="0" tint="-4.9989318521683403E-2"/>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49998474074526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alignment horizontal="left"/>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bgColor theme="2" tint="-0.499984740745262"/>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numFmt numFmtId="164" formatCode="0.000"/>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alignment horizontal="left"/>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bgColor theme="1" tint="0.499984740745262"/>
        </patternFill>
      </fill>
    </dxf>
    <dxf>
      <alignment horizontal="left"/>
    </dxf>
    <dxf>
      <alignment horizontal="left"/>
    </dxf>
    <dxf>
      <alignment horizontal="left"/>
    </dxf>
    <dxf>
      <alignment horizontal="left"/>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bgColor theme="2"/>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2"/>
        </patternFill>
      </fill>
    </dxf>
    <dxf>
      <fill>
        <patternFill>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alignment horizontal="left"/>
    </dxf>
    <dxf>
      <alignment horizontal="left"/>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alignment horizontal="left"/>
    </dxf>
    <dxf>
      <alignment horizontal="left"/>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numFmt numFmtId="2" formatCode="0.00"/>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numFmt numFmtId="2" formatCode="0.00"/>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alignment horizontal="left"/>
    </dxf>
    <dxf>
      <fill>
        <patternFill patternType="solid">
          <bgColor theme="0" tint="-4.9989318521683403E-2"/>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49998474074526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alignment horizontal="left"/>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bgColor theme="2" tint="-0.499984740745262"/>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numFmt numFmtId="164" formatCode="0.000"/>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alignment horizontal="left"/>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bgColor theme="1" tint="0.499984740745262"/>
        </patternFill>
      </fill>
    </dxf>
    <dxf>
      <alignment horizontal="left"/>
    </dxf>
    <dxf>
      <alignment horizontal="left"/>
    </dxf>
    <dxf>
      <alignment horizontal="left"/>
    </dxf>
    <dxf>
      <alignment horizontal="left"/>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bgColor theme="2"/>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2"/>
        </patternFill>
      </fill>
    </dxf>
    <dxf>
      <fill>
        <patternFill>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alignment horizontal="left"/>
    </dxf>
    <dxf>
      <alignment horizontal="left"/>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alignment horizontal="left"/>
    </dxf>
    <dxf>
      <alignment horizontal="left"/>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numFmt numFmtId="2" formatCode="0.00"/>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numFmt numFmtId="2" formatCode="0.00"/>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alignment horizontal="left"/>
    </dxf>
    <dxf>
      <fill>
        <patternFill patternType="solid">
          <bgColor theme="0" tint="-4.9989318521683403E-2"/>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49998474074526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alignment horizontal="left"/>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bgColor theme="2" tint="-0.499984740745262"/>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numFmt numFmtId="164" formatCode="0.000"/>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alignment horizontal="left"/>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bgColor theme="1" tint="0.499984740745262"/>
        </patternFill>
      </fill>
    </dxf>
    <dxf>
      <alignment horizontal="left"/>
    </dxf>
    <dxf>
      <alignment horizontal="left"/>
    </dxf>
    <dxf>
      <alignment horizontal="left"/>
    </dxf>
    <dxf>
      <alignment horizontal="left"/>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bgColor theme="2"/>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2"/>
        </patternFill>
      </fill>
    </dxf>
    <dxf>
      <fill>
        <patternFill>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alignment horizontal="left"/>
    </dxf>
    <dxf>
      <alignment horizontal="left"/>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alignment horizontal="left"/>
    </dxf>
    <dxf>
      <alignment horizontal="left"/>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numFmt numFmtId="2" formatCode="0.00"/>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numFmt numFmtId="2" formatCode="0.00"/>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alignment horizontal="left"/>
    </dxf>
    <dxf>
      <fill>
        <patternFill patternType="solid">
          <bgColor theme="0" tint="-4.9989318521683403E-2"/>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49998474074526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alignment horizontal="left"/>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bgColor theme="2" tint="-0.499984740745262"/>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numFmt numFmtId="164" formatCode="0.000"/>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alignment horizontal="left"/>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bgColor theme="1" tint="0.499984740745262"/>
        </patternFill>
      </fill>
    </dxf>
    <dxf>
      <alignment horizontal="left"/>
    </dxf>
    <dxf>
      <alignment horizontal="left"/>
    </dxf>
    <dxf>
      <alignment horizontal="left"/>
    </dxf>
    <dxf>
      <alignment horizontal="left"/>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bgColor theme="2"/>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2"/>
        </patternFill>
      </fill>
    </dxf>
    <dxf>
      <fill>
        <patternFill>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alignment horizontal="left"/>
    </dxf>
    <dxf>
      <alignment horizontal="left"/>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alignment horizontal="left"/>
    </dxf>
    <dxf>
      <alignment horizontal="left"/>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numFmt numFmtId="2" formatCode="0.00"/>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numFmt numFmtId="2" formatCode="0.00"/>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alignment horizontal="left"/>
    </dxf>
    <dxf>
      <fill>
        <patternFill patternType="solid">
          <bgColor theme="0" tint="-4.9989318521683403E-2"/>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49998474074526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alignment horizontal="left"/>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bgColor theme="2" tint="-0.499984740745262"/>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numFmt numFmtId="164" formatCode="0.000"/>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alignment horizontal="left"/>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bgColor theme="1" tint="0.499984740745262"/>
        </patternFill>
      </fill>
    </dxf>
    <dxf>
      <alignment horizontal="left"/>
    </dxf>
    <dxf>
      <alignment horizontal="left"/>
    </dxf>
    <dxf>
      <alignment horizontal="left"/>
    </dxf>
    <dxf>
      <alignment horizontal="left"/>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bgColor theme="2"/>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2"/>
        </patternFill>
      </fill>
    </dxf>
    <dxf>
      <fill>
        <patternFill>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alignment horizontal="left"/>
    </dxf>
    <dxf>
      <alignment horizontal="left"/>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alignment horizontal="left"/>
    </dxf>
    <dxf>
      <alignment horizontal="left"/>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numFmt numFmtId="2" formatCode="0.00"/>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numFmt numFmtId="2" formatCode="0.00"/>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alignment horizontal="left"/>
    </dxf>
    <dxf>
      <fill>
        <patternFill patternType="solid">
          <bgColor theme="0" tint="-4.9989318521683403E-2"/>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49998474074526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alignment horizontal="left"/>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bgColor theme="2" tint="-0.499984740745262"/>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numFmt numFmtId="164" formatCode="0.000"/>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alignment horizontal="left"/>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bgColor theme="1" tint="0.499984740745262"/>
        </patternFill>
      </fill>
    </dxf>
    <dxf>
      <alignment horizontal="left"/>
    </dxf>
    <dxf>
      <alignment horizontal="left"/>
    </dxf>
    <dxf>
      <alignment horizontal="left"/>
    </dxf>
    <dxf>
      <alignment horizontal="left"/>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bgColor theme="2"/>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2"/>
        </patternFill>
      </fill>
    </dxf>
    <dxf>
      <fill>
        <patternFill>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alignment horizontal="left"/>
    </dxf>
    <dxf>
      <alignment horizontal="left"/>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alignment horizontal="left"/>
    </dxf>
    <dxf>
      <alignment horizontal="left"/>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numFmt numFmtId="2" formatCode="0.00"/>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numFmt numFmtId="2" formatCode="0.00"/>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alignment horizontal="left"/>
    </dxf>
    <dxf>
      <fill>
        <patternFill patternType="solid">
          <bgColor theme="0" tint="-4.9989318521683403E-2"/>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49998474074526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alignment horizontal="left"/>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bgColor theme="2" tint="-0.499984740745262"/>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numFmt numFmtId="164" formatCode="0.000"/>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alignment horizontal="left"/>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bgColor theme="1" tint="0.499984740745262"/>
        </patternFill>
      </fill>
    </dxf>
    <dxf>
      <alignment horizontal="left"/>
    </dxf>
    <dxf>
      <alignment horizontal="left"/>
    </dxf>
    <dxf>
      <alignment horizontal="left"/>
    </dxf>
    <dxf>
      <alignment horizontal="left"/>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bgColor theme="2"/>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2"/>
        </patternFill>
      </fill>
    </dxf>
    <dxf>
      <fill>
        <patternFill>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alignment horizontal="left"/>
    </dxf>
    <dxf>
      <alignment horizontal="left"/>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alignment horizontal="left"/>
    </dxf>
    <dxf>
      <alignment horizontal="left"/>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numFmt numFmtId="2" formatCode="0.00"/>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numFmt numFmtId="2" formatCode="0.00"/>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alignment horizontal="left"/>
    </dxf>
    <dxf>
      <fill>
        <patternFill patternType="solid">
          <bgColor theme="0" tint="-4.9989318521683403E-2"/>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49998474074526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alignment horizontal="left"/>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bgColor theme="2" tint="-0.499984740745262"/>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numFmt numFmtId="164" formatCode="0.000"/>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alignment horizontal="left"/>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bgColor theme="1" tint="0.499984740745262"/>
        </patternFill>
      </fill>
    </dxf>
    <dxf>
      <alignment horizontal="left"/>
    </dxf>
    <dxf>
      <alignment horizontal="left"/>
    </dxf>
    <dxf>
      <alignment horizontal="left"/>
    </dxf>
    <dxf>
      <alignment horizontal="left"/>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bgColor theme="2"/>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2"/>
        </patternFill>
      </fill>
    </dxf>
    <dxf>
      <fill>
        <patternFill>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alignment horizontal="left"/>
    </dxf>
    <dxf>
      <alignment horizontal="left"/>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alignment horizontal="left"/>
    </dxf>
    <dxf>
      <alignment horizontal="left"/>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numFmt numFmtId="2" formatCode="0.00"/>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numFmt numFmtId="2" formatCode="0.00"/>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alignment horizontal="left"/>
    </dxf>
    <dxf>
      <fill>
        <patternFill patternType="solid">
          <bgColor theme="0" tint="-4.9989318521683403E-2"/>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49998474074526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alignment horizontal="left"/>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bgColor theme="2" tint="-0.499984740745262"/>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numFmt numFmtId="164" formatCode="0.000"/>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alignment horizontal="left"/>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bgColor theme="1" tint="0.499984740745262"/>
        </patternFill>
      </fill>
    </dxf>
    <dxf>
      <alignment horizontal="left"/>
    </dxf>
    <dxf>
      <alignment horizontal="left"/>
    </dxf>
    <dxf>
      <alignment horizontal="left"/>
    </dxf>
    <dxf>
      <alignment horizontal="left"/>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bgColor theme="2"/>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2"/>
        </patternFill>
      </fill>
    </dxf>
    <dxf>
      <fill>
        <patternFill>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alignment horizontal="left"/>
    </dxf>
    <dxf>
      <alignment horizontal="left"/>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alignment horizontal="left"/>
    </dxf>
    <dxf>
      <alignment horizontal="left"/>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numFmt numFmtId="2" formatCode="0.00"/>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alignment horizontal="left"/>
    </dxf>
    <dxf>
      <alignment horizontal="left"/>
    </dxf>
    <dxf>
      <numFmt numFmtId="2" formatCode="0.00"/>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alignment horizontal="left"/>
    </dxf>
    <dxf>
      <fill>
        <patternFill patternType="solid">
          <bgColor theme="0" tint="-4.9989318521683403E-2"/>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49998474074526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alignment horizontal="left"/>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bgColor theme="2" tint="-0.499984740745262"/>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numFmt numFmtId="164" formatCode="0.000"/>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alignment horizontal="left"/>
    </dxf>
    <dxf>
      <alignment horizontal="left"/>
    </dxf>
    <dxf>
      <alignment horizontal="left"/>
    </dxf>
    <dxf>
      <alignment horizontal="left"/>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bgColor theme="2"/>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2"/>
        </patternFill>
      </fill>
    </dxf>
    <dxf>
      <fill>
        <patternFill>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alignment horizontal="left"/>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bgColor theme="1" tint="0.49998474074526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alignment horizontal="left"/>
    </dxf>
    <dxf>
      <alignment horizontal="left"/>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numFmt numFmtId="2" formatCode="0.00"/>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alignment horizontal="left"/>
    </dxf>
    <dxf>
      <alignment horizontal="left"/>
    </dxf>
    <dxf>
      <numFmt numFmtId="2" formatCode="0.00"/>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alignment horizontal="left"/>
    </dxf>
    <dxf>
      <fill>
        <patternFill patternType="solid">
          <bgColor theme="0" tint="-4.9989318521683403E-2"/>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49998474074526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alignment horizontal="left"/>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bgColor theme="2" tint="-0.499984740745262"/>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numFmt numFmtId="164" formatCode="0.000"/>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alignment horizontal="left"/>
    </dxf>
    <dxf>
      <alignment horizontal="left"/>
    </dxf>
    <dxf>
      <alignment horizontal="left"/>
    </dxf>
    <dxf>
      <alignment horizontal="left"/>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bgColor theme="2"/>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2"/>
        </patternFill>
      </fill>
    </dxf>
    <dxf>
      <fill>
        <patternFill>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alignment horizontal="left"/>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bgColor theme="1" tint="0.49998474074526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alignment horizontal="left"/>
    </dxf>
    <dxf>
      <alignment horizontal="left"/>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numFmt numFmtId="2" formatCode="0.00"/>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numFmt numFmtId="2" formatCode="0.00"/>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alignment horizontal="left"/>
    </dxf>
    <dxf>
      <fill>
        <patternFill patternType="solid">
          <bgColor theme="0" tint="-4.9989318521683403E-2"/>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49998474074526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alignment horizontal="left"/>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bgColor theme="2" tint="-0.499984740745262"/>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numFmt numFmtId="164" formatCode="0.000"/>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alignment horizontal="left"/>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bgColor theme="1" tint="0.499984740745262"/>
        </patternFill>
      </fill>
    </dxf>
    <dxf>
      <alignment horizontal="left"/>
    </dxf>
    <dxf>
      <alignment horizontal="left"/>
    </dxf>
    <dxf>
      <alignment horizontal="left"/>
    </dxf>
    <dxf>
      <alignment horizontal="left"/>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bgColor theme="2"/>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2"/>
        </patternFill>
      </fill>
    </dxf>
    <dxf>
      <fill>
        <patternFill>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alignment horizontal="left"/>
    </dxf>
    <dxf>
      <alignment horizontal="left"/>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alignment horizontal="left"/>
    </dxf>
    <dxf>
      <alignment horizontal="left"/>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numFmt numFmtId="2" formatCode="0.00"/>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numFmt numFmtId="2" formatCode="0.00"/>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alignment horizontal="left"/>
    </dxf>
    <dxf>
      <fill>
        <patternFill patternType="solid">
          <bgColor theme="0" tint="-4.9989318521683403E-2"/>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49998474074526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alignment horizontal="left"/>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bgColor theme="2" tint="-0.499984740745262"/>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numFmt numFmtId="164" formatCode="0.000"/>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alignment horizontal="left"/>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bgColor theme="1" tint="0.499984740745262"/>
        </patternFill>
      </fill>
    </dxf>
    <dxf>
      <alignment horizontal="left"/>
    </dxf>
    <dxf>
      <alignment horizontal="left"/>
    </dxf>
    <dxf>
      <alignment horizontal="left"/>
    </dxf>
    <dxf>
      <alignment horizontal="left"/>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bgColor theme="2"/>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2"/>
        </patternFill>
      </fill>
    </dxf>
    <dxf>
      <fill>
        <patternFill>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alignment horizontal="left"/>
    </dxf>
    <dxf>
      <alignment horizontal="left"/>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alignment horizontal="left"/>
    </dxf>
    <dxf>
      <alignment horizontal="left"/>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numFmt numFmtId="2" formatCode="0.00"/>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numFmt numFmtId="2" formatCode="0.00"/>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alignment horizontal="left"/>
    </dxf>
    <dxf>
      <fill>
        <patternFill patternType="solid">
          <bgColor theme="0" tint="-4.9989318521683403E-2"/>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49998474074526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alignment horizontal="left"/>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bgColor theme="2" tint="-0.499984740745262"/>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numFmt numFmtId="164" formatCode="0.000"/>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alignment horizontal="left"/>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bgColor theme="1" tint="0.499984740745262"/>
        </patternFill>
      </fill>
    </dxf>
    <dxf>
      <alignment horizontal="left"/>
    </dxf>
    <dxf>
      <alignment horizontal="left"/>
    </dxf>
    <dxf>
      <alignment horizontal="left"/>
    </dxf>
    <dxf>
      <alignment horizontal="left"/>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bgColor theme="2"/>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2"/>
        </patternFill>
      </fill>
    </dxf>
    <dxf>
      <fill>
        <patternFill>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alignment horizontal="left"/>
    </dxf>
    <dxf>
      <alignment horizontal="left"/>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alignment horizontal="left"/>
    </dxf>
    <dxf>
      <alignment horizontal="left"/>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numFmt numFmtId="2" formatCode="0.00"/>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numFmt numFmtId="2" formatCode="0.00"/>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alignment horizontal="left"/>
    </dxf>
    <dxf>
      <fill>
        <patternFill patternType="solid">
          <bgColor theme="0" tint="-4.9989318521683403E-2"/>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49998474074526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alignment horizontal="left"/>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bgColor theme="2" tint="-0.499984740745262"/>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numFmt numFmtId="164" formatCode="0.000"/>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alignment horizontal="left"/>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bgColor theme="1" tint="0.499984740745262"/>
        </patternFill>
      </fill>
    </dxf>
    <dxf>
      <alignment horizontal="left"/>
    </dxf>
    <dxf>
      <alignment horizontal="left"/>
    </dxf>
    <dxf>
      <alignment horizontal="left"/>
    </dxf>
    <dxf>
      <alignment horizontal="left"/>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bgColor theme="2"/>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2"/>
        </patternFill>
      </fill>
    </dxf>
    <dxf>
      <fill>
        <patternFill>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alignment horizontal="left"/>
    </dxf>
    <dxf>
      <alignment horizontal="left"/>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alignment horizontal="left"/>
    </dxf>
    <dxf>
      <alignment horizontal="left"/>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numFmt numFmtId="2" formatCode="0.00"/>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numFmt numFmtId="2" formatCode="0.00"/>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alignment horizontal="left"/>
    </dxf>
    <dxf>
      <fill>
        <patternFill patternType="solid">
          <bgColor theme="0" tint="-4.9989318521683403E-2"/>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49998474074526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alignment horizontal="left"/>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bgColor theme="2" tint="-0.499984740745262"/>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numFmt numFmtId="164" formatCode="0.000"/>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alignment horizontal="left"/>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bgColor theme="1" tint="0.499984740745262"/>
        </patternFill>
      </fill>
    </dxf>
    <dxf>
      <alignment horizontal="left"/>
    </dxf>
    <dxf>
      <alignment horizontal="left"/>
    </dxf>
    <dxf>
      <alignment horizontal="left"/>
    </dxf>
    <dxf>
      <alignment horizontal="left"/>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bgColor theme="2"/>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2"/>
        </patternFill>
      </fill>
    </dxf>
    <dxf>
      <fill>
        <patternFill>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alignment horizontal="left"/>
    </dxf>
    <dxf>
      <alignment horizontal="left"/>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alignment horizontal="left"/>
    </dxf>
    <dxf>
      <alignment horizontal="left"/>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numFmt numFmtId="2" formatCode="0.00"/>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numFmt numFmtId="2" formatCode="0.00"/>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alignment horizontal="left"/>
    </dxf>
    <dxf>
      <fill>
        <patternFill patternType="solid">
          <bgColor theme="0" tint="-4.9989318521683403E-2"/>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49998474074526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alignment horizontal="left"/>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bgColor theme="2" tint="-0.499984740745262"/>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numFmt numFmtId="164" formatCode="0.000"/>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alignment horizontal="left"/>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bgColor theme="1" tint="0.499984740745262"/>
        </patternFill>
      </fill>
    </dxf>
    <dxf>
      <alignment horizontal="left"/>
    </dxf>
    <dxf>
      <alignment horizontal="left"/>
    </dxf>
    <dxf>
      <alignment horizontal="left"/>
    </dxf>
    <dxf>
      <alignment horizontal="left"/>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bgColor theme="2"/>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2"/>
        </patternFill>
      </fill>
    </dxf>
    <dxf>
      <fill>
        <patternFill>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alignment horizontal="left"/>
    </dxf>
    <dxf>
      <alignment horizontal="left"/>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alignment horizontal="left"/>
    </dxf>
    <dxf>
      <alignment horizontal="left"/>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numFmt numFmtId="2" formatCode="0.00"/>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numFmt numFmtId="2" formatCode="0.00"/>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alignment horizontal="left"/>
    </dxf>
    <dxf>
      <fill>
        <patternFill patternType="solid">
          <bgColor theme="0" tint="-4.9989318521683403E-2"/>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49998474074526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alignment horizontal="left"/>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bgColor theme="2" tint="-0.499984740745262"/>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numFmt numFmtId="164" formatCode="0.000"/>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alignment horizontal="left"/>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bgColor theme="1" tint="0.499984740745262"/>
        </patternFill>
      </fill>
    </dxf>
    <dxf>
      <alignment horizontal="left"/>
    </dxf>
    <dxf>
      <alignment horizontal="left"/>
    </dxf>
    <dxf>
      <alignment horizontal="left"/>
    </dxf>
    <dxf>
      <alignment horizontal="left"/>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bgColor theme="2"/>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2"/>
        </patternFill>
      </fill>
    </dxf>
    <dxf>
      <fill>
        <patternFill>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alignment horizontal="left"/>
    </dxf>
    <dxf>
      <alignment horizontal="left"/>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alignment horizontal="left"/>
    </dxf>
    <dxf>
      <alignment horizontal="left"/>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numFmt numFmtId="2" formatCode="0.00"/>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alignment horizontal="left"/>
    </dxf>
    <dxf>
      <alignment horizontal="left"/>
    </dxf>
    <dxf>
      <numFmt numFmtId="2" formatCode="0.00"/>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alignment horizontal="left"/>
    </dxf>
    <dxf>
      <fill>
        <patternFill patternType="solid">
          <bgColor theme="0" tint="-4.9989318521683403E-2"/>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49998474074526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alignment horizontal="left"/>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bgColor theme="2" tint="-0.499984740745262"/>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numFmt numFmtId="164" formatCode="0.000"/>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alignment horizontal="left"/>
    </dxf>
    <dxf>
      <alignment horizontal="left"/>
    </dxf>
    <dxf>
      <alignment horizontal="left"/>
    </dxf>
    <dxf>
      <alignment horizontal="left"/>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bgColor theme="2"/>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2"/>
        </patternFill>
      </fill>
    </dxf>
    <dxf>
      <fill>
        <patternFill>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alignment horizontal="left"/>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bgColor theme="1" tint="0.49998474074526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alignment horizontal="left"/>
    </dxf>
    <dxf>
      <alignment horizontal="left"/>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numFmt numFmtId="2" formatCode="0.00"/>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numFmt numFmtId="2" formatCode="0.00"/>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alignment horizontal="left"/>
    </dxf>
    <dxf>
      <fill>
        <patternFill patternType="solid">
          <bgColor theme="0" tint="-4.9989318521683403E-2"/>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49998474074526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alignment horizontal="left"/>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bgColor theme="2" tint="-0.499984740745262"/>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numFmt numFmtId="164" formatCode="0.000"/>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alignment horizontal="left"/>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bgColor theme="1" tint="0.499984740745262"/>
        </patternFill>
      </fill>
    </dxf>
    <dxf>
      <alignment horizontal="left"/>
    </dxf>
    <dxf>
      <alignment horizontal="left"/>
    </dxf>
    <dxf>
      <alignment horizontal="left"/>
    </dxf>
    <dxf>
      <alignment horizontal="left"/>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bgColor theme="2"/>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2"/>
        </patternFill>
      </fill>
    </dxf>
    <dxf>
      <fill>
        <patternFill>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alignment horizontal="left"/>
    </dxf>
    <dxf>
      <alignment horizontal="left"/>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alignment horizontal="left"/>
    </dxf>
    <dxf>
      <alignment horizontal="left"/>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alignment horizontal="left"/>
    </dxf>
    <dxf>
      <alignment horizontal="left"/>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numFmt numFmtId="2" formatCode="0.00"/>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numFmt numFmtId="2" formatCode="0.00"/>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alignment horizontal="left"/>
    </dxf>
    <dxf>
      <fill>
        <patternFill patternType="solid">
          <bgColor theme="0" tint="-4.9989318521683403E-2"/>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49998474074526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alignment horizontal="left"/>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bgColor theme="2" tint="-0.499984740745262"/>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numFmt numFmtId="164" formatCode="0.000"/>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alignment horizontal="left"/>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bgColor theme="1" tint="0.499984740745262"/>
        </patternFill>
      </fill>
    </dxf>
    <dxf>
      <alignment horizontal="left"/>
    </dxf>
    <dxf>
      <alignment horizontal="left"/>
    </dxf>
    <dxf>
      <alignment horizontal="left"/>
    </dxf>
    <dxf>
      <alignment horizontal="left"/>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bgColor theme="2"/>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2"/>
        </patternFill>
      </fill>
    </dxf>
    <dxf>
      <fill>
        <patternFill>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alignment horizontal="left"/>
    </dxf>
    <dxf>
      <alignment horizontal="left"/>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alignment horizontal="left"/>
    </dxf>
    <dxf>
      <alignment horizontal="left"/>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numFmt numFmtId="2" formatCode="0.00"/>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numFmt numFmtId="2" formatCode="0.00"/>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alignment horizontal="left"/>
    </dxf>
    <dxf>
      <fill>
        <patternFill patternType="solid">
          <bgColor theme="0" tint="-4.9989318521683403E-2"/>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49998474074526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alignment horizontal="left"/>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bgColor theme="2" tint="-0.499984740745262"/>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numFmt numFmtId="164" formatCode="0.000"/>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alignment horizontal="left"/>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bgColor theme="1" tint="0.499984740745262"/>
        </patternFill>
      </fill>
    </dxf>
    <dxf>
      <alignment horizontal="left"/>
    </dxf>
    <dxf>
      <alignment horizontal="left"/>
    </dxf>
    <dxf>
      <alignment horizontal="left"/>
    </dxf>
    <dxf>
      <alignment horizontal="left"/>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bgColor theme="2"/>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2"/>
        </patternFill>
      </fill>
    </dxf>
    <dxf>
      <fill>
        <patternFill>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alignment horizontal="left"/>
    </dxf>
    <dxf>
      <alignment horizontal="left"/>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alignment horizontal="left"/>
    </dxf>
    <dxf>
      <alignment horizontal="left"/>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numFmt numFmtId="2" formatCode="0.00"/>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numFmt numFmtId="2" formatCode="0.00"/>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alignment horizontal="left"/>
    </dxf>
    <dxf>
      <fill>
        <patternFill patternType="solid">
          <bgColor theme="0" tint="-4.9989318521683403E-2"/>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49998474074526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alignment horizontal="left"/>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bgColor theme="2" tint="-0.499984740745262"/>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numFmt numFmtId="164" formatCode="0.000"/>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alignment horizontal="left"/>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bgColor theme="1" tint="0.499984740745262"/>
        </patternFill>
      </fill>
    </dxf>
    <dxf>
      <alignment horizontal="left"/>
    </dxf>
    <dxf>
      <alignment horizontal="left"/>
    </dxf>
    <dxf>
      <alignment horizontal="left"/>
    </dxf>
    <dxf>
      <alignment horizontal="left"/>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bgColor theme="2"/>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2"/>
        </patternFill>
      </fill>
    </dxf>
    <dxf>
      <fill>
        <patternFill>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alignment horizontal="left"/>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bgColor theme="1" tint="0.49998474074526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alignment horizontal="left"/>
    </dxf>
    <dxf>
      <alignment horizontal="left"/>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numFmt numFmtId="2" formatCode="0.00"/>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alignment horizontal="left"/>
    </dxf>
    <dxf>
      <alignment horizontal="left"/>
    </dxf>
    <dxf>
      <numFmt numFmtId="2" formatCode="0.00"/>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alignment horizontal="left"/>
    </dxf>
    <dxf>
      <fill>
        <patternFill patternType="solid">
          <bgColor theme="0" tint="-4.9989318521683403E-2"/>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49998474074526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alignment horizontal="left"/>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bgColor theme="2" tint="-0.499984740745262"/>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numFmt numFmtId="164" formatCode="0.000"/>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alignment horizontal="left"/>
    </dxf>
    <dxf>
      <alignment horizontal="left"/>
    </dxf>
    <dxf>
      <alignment horizontal="left"/>
    </dxf>
    <dxf>
      <alignment horizontal="left"/>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bgColor theme="2"/>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2"/>
        </patternFill>
      </fill>
    </dxf>
    <dxf>
      <fill>
        <patternFill>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alignment horizontal="left"/>
    </dxf>
    <dxf>
      <alignment horizontal="left"/>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alignment horizontal="left"/>
    </dxf>
    <dxf>
      <alignment horizontal="left"/>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alignment horizontal="left"/>
    </dxf>
    <dxf>
      <alignment horizontal="left"/>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alignment horizontal="left"/>
    </dxf>
    <dxf>
      <alignment horizontal="left"/>
    </dxf>
    <dxf>
      <alignment horizontal="left"/>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bgColor theme="1" tint="0.499984740745262"/>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alignment horizontal="left"/>
    </dxf>
    <dxf>
      <alignment horizontal="left"/>
    </dxf>
    <dxf>
      <font>
        <color theme="4"/>
      </font>
    </dxf>
    <dxf>
      <font>
        <color theme="5" tint="0.39994506668294322"/>
      </font>
    </dxf>
    <dxf>
      <font>
        <color theme="8" tint="0.39994506668294322"/>
      </font>
    </dxf>
    <dxf>
      <font>
        <color theme="8" tint="0.39994506668294322"/>
      </font>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numFmt numFmtId="164" formatCode="0.000"/>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numFmt numFmtId="2" formatCode="0.00"/>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1" tint="0.499984740745262"/>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patternType="solid">
          <bgColor theme="0" tint="-4.9989318521683403E-2"/>
        </patternFill>
      </fill>
    </dxf>
    <dxf>
      <alignment horizontal="left"/>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bgColor theme="2"/>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alignment horizontal="left"/>
    </dxf>
    <dxf>
      <alignment horizontal="left"/>
    </dxf>
    <dxf>
      <alignment horizontal="left"/>
    </dxf>
    <dxf>
      <alignment horizontal="left"/>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numFmt numFmtId="2" formatCode="0.00"/>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alignment horizontal="left"/>
    </dxf>
    <dxf>
      <alignment horizontal="left"/>
    </dxf>
    <dxf>
      <fill>
        <patternFill>
          <bgColor theme="1" tint="0.499984740745262"/>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alignment horizontal="left"/>
    </dxf>
    <dxf>
      <fill>
        <patternFill>
          <bgColor theme="2"/>
        </patternFill>
      </fill>
    </dxf>
    <dxf>
      <fill>
        <patternFill>
          <bgColor theme="2"/>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2" tint="-0.499984740745262"/>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alignment horizontal="left"/>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alignment horizontal="left"/>
    </dxf>
    <dxf>
      <alignment horizontal="left"/>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[healthcare_dataset (Recovered).xlsx]Pivot!PivotTable7</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solidFill>
                  <a:schemeClr val="tx1"/>
                </a:solidFill>
              </a:rPr>
              <a:t>COUN</a:t>
            </a:r>
            <a:r>
              <a:rPr lang="en-US" sz="900" b="1">
                <a:solidFill>
                  <a:schemeClr val="tx1"/>
                </a:solidFill>
              </a:rPr>
              <a:t>T OF SMOKERS VS DIABETIC</a:t>
            </a:r>
            <a:r>
              <a:rPr lang="en-US" sz="900" b="1" baseline="0">
                <a:solidFill>
                  <a:schemeClr val="tx1"/>
                </a:solidFill>
              </a:rPr>
              <a:t> PATIENTS</a:t>
            </a:r>
            <a:endParaRPr lang="en-US" sz="900" b="1">
              <a:solidFill>
                <a:schemeClr val="tx1"/>
              </a:solidFill>
            </a:endParaRPr>
          </a:p>
        </c:rich>
      </c:tx>
      <c:layout>
        <c:manualLayout>
          <c:xMode val="edge"/>
          <c:yMode val="edge"/>
          <c:x val="9.9994950468361835E-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27999510693272"/>
          <c:y val="0.16269712259072389"/>
          <c:w val="0.6537219670983897"/>
          <c:h val="0.63891856136573133"/>
        </c:manualLayout>
      </c:layout>
      <c:barChart>
        <c:barDir val="col"/>
        <c:grouping val="clustered"/>
        <c:varyColors val="0"/>
        <c:ser>
          <c:idx val="0"/>
          <c:order val="0"/>
          <c:tx>
            <c:strRef>
              <c:f>Pivot!$F$44:$F$45</c:f>
              <c:strCache>
                <c:ptCount val="1"/>
                <c:pt idx="0">
                  <c:v>Non-Smoker</c:v>
                </c:pt>
              </c:strCache>
            </c:strRef>
          </c:tx>
          <c:spPr>
            <a:solidFill>
              <a:schemeClr val="accent1"/>
            </a:solidFill>
            <a:ln>
              <a:noFill/>
            </a:ln>
            <a:effectLst/>
          </c:spPr>
          <c:invertIfNegative val="0"/>
          <c:cat>
            <c:strRef>
              <c:f>Pivot!$E$46:$E$49</c:f>
              <c:strCache>
                <c:ptCount val="3"/>
                <c:pt idx="0">
                  <c:v>No</c:v>
                </c:pt>
                <c:pt idx="1">
                  <c:v>Yes</c:v>
                </c:pt>
                <c:pt idx="2">
                  <c:v>(blank)</c:v>
                </c:pt>
              </c:strCache>
            </c:strRef>
          </c:cat>
          <c:val>
            <c:numRef>
              <c:f>Pivot!$F$46:$F$49</c:f>
              <c:numCache>
                <c:formatCode>General</c:formatCode>
                <c:ptCount val="3"/>
                <c:pt idx="0">
                  <c:v>50</c:v>
                </c:pt>
                <c:pt idx="1">
                  <c:v>11</c:v>
                </c:pt>
                <c:pt idx="2">
                  <c:v>8</c:v>
                </c:pt>
              </c:numCache>
            </c:numRef>
          </c:val>
          <c:extLst>
            <c:ext xmlns:c16="http://schemas.microsoft.com/office/drawing/2014/chart" uri="{C3380CC4-5D6E-409C-BE32-E72D297353CC}">
              <c16:uniqueId val="{00000000-93F3-483B-9E95-A0A0E7AF4945}"/>
            </c:ext>
          </c:extLst>
        </c:ser>
        <c:ser>
          <c:idx val="1"/>
          <c:order val="1"/>
          <c:tx>
            <c:strRef>
              <c:f>Pivot!$G$44:$G$45</c:f>
              <c:strCache>
                <c:ptCount val="1"/>
                <c:pt idx="0">
                  <c:v>Smoker</c:v>
                </c:pt>
              </c:strCache>
            </c:strRef>
          </c:tx>
          <c:spPr>
            <a:solidFill>
              <a:schemeClr val="accent2"/>
            </a:solidFill>
            <a:ln>
              <a:noFill/>
            </a:ln>
            <a:effectLst/>
          </c:spPr>
          <c:invertIfNegative val="0"/>
          <c:cat>
            <c:strRef>
              <c:f>Pivot!$E$46:$E$49</c:f>
              <c:strCache>
                <c:ptCount val="3"/>
                <c:pt idx="0">
                  <c:v>No</c:v>
                </c:pt>
                <c:pt idx="1">
                  <c:v>Yes</c:v>
                </c:pt>
                <c:pt idx="2">
                  <c:v>(blank)</c:v>
                </c:pt>
              </c:strCache>
            </c:strRef>
          </c:cat>
          <c:val>
            <c:numRef>
              <c:f>Pivot!$G$46:$G$49</c:f>
              <c:numCache>
                <c:formatCode>General</c:formatCode>
                <c:ptCount val="3"/>
                <c:pt idx="0">
                  <c:v>15</c:v>
                </c:pt>
                <c:pt idx="1">
                  <c:v>6</c:v>
                </c:pt>
                <c:pt idx="2">
                  <c:v>1</c:v>
                </c:pt>
              </c:numCache>
            </c:numRef>
          </c:val>
          <c:extLst>
            <c:ext xmlns:c16="http://schemas.microsoft.com/office/drawing/2014/chart" uri="{C3380CC4-5D6E-409C-BE32-E72D297353CC}">
              <c16:uniqueId val="{00000001-91DA-456B-92D5-83202C9785D1}"/>
            </c:ext>
          </c:extLst>
        </c:ser>
        <c:ser>
          <c:idx val="2"/>
          <c:order val="2"/>
          <c:tx>
            <c:strRef>
              <c:f>Pivot!$H$44:$H$45</c:f>
              <c:strCache>
                <c:ptCount val="1"/>
                <c:pt idx="0">
                  <c:v>(blank)</c:v>
                </c:pt>
              </c:strCache>
            </c:strRef>
          </c:tx>
          <c:spPr>
            <a:solidFill>
              <a:schemeClr val="accent3"/>
            </a:solidFill>
            <a:ln>
              <a:noFill/>
            </a:ln>
            <a:effectLst/>
          </c:spPr>
          <c:invertIfNegative val="0"/>
          <c:cat>
            <c:strRef>
              <c:f>Pivot!$E$46:$E$49</c:f>
              <c:strCache>
                <c:ptCount val="3"/>
                <c:pt idx="0">
                  <c:v>No</c:v>
                </c:pt>
                <c:pt idx="1">
                  <c:v>Yes</c:v>
                </c:pt>
                <c:pt idx="2">
                  <c:v>(blank)</c:v>
                </c:pt>
              </c:strCache>
            </c:strRef>
          </c:cat>
          <c:val>
            <c:numRef>
              <c:f>Pivot!$H$46:$H$49</c:f>
              <c:numCache>
                <c:formatCode>General</c:formatCode>
                <c:ptCount val="3"/>
                <c:pt idx="0">
                  <c:v>8</c:v>
                </c:pt>
                <c:pt idx="2">
                  <c:v>1</c:v>
                </c:pt>
              </c:numCache>
            </c:numRef>
          </c:val>
          <c:extLst>
            <c:ext xmlns:c16="http://schemas.microsoft.com/office/drawing/2014/chart" uri="{C3380CC4-5D6E-409C-BE32-E72D297353CC}">
              <c16:uniqueId val="{00000002-91DA-456B-92D5-83202C9785D1}"/>
            </c:ext>
          </c:extLst>
        </c:ser>
        <c:dLbls>
          <c:showLegendKey val="0"/>
          <c:showVal val="0"/>
          <c:showCatName val="0"/>
          <c:showSerName val="0"/>
          <c:showPercent val="0"/>
          <c:showBubbleSize val="0"/>
        </c:dLbls>
        <c:gapWidth val="219"/>
        <c:overlap val="-27"/>
        <c:axId val="2094998640"/>
        <c:axId val="2095000080"/>
      </c:barChart>
      <c:catAx>
        <c:axId val="2094998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5000080"/>
        <c:crosses val="autoZero"/>
        <c:auto val="1"/>
        <c:lblAlgn val="ctr"/>
        <c:lblOffset val="100"/>
        <c:noMultiLvlLbl val="0"/>
      </c:catAx>
      <c:valAx>
        <c:axId val="20950000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4998640"/>
        <c:crosses val="autoZero"/>
        <c:crossBetween val="between"/>
      </c:valAx>
      <c:spPr>
        <a:noFill/>
        <a:ln>
          <a:noFill/>
        </a:ln>
        <a:effectLst/>
      </c:spPr>
    </c:plotArea>
    <c:legend>
      <c:legendPos val="r"/>
      <c:layout>
        <c:manualLayout>
          <c:xMode val="edge"/>
          <c:yMode val="edge"/>
          <c:x val="0.80012975906101624"/>
          <c:y val="0.44002544832129931"/>
          <c:w val="0.19987041906134184"/>
          <c:h val="0.4524351369038822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[healthcare_dataset (Recovered).xlsx]Pivot!PivotTable17</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AVERAGE HOSPITAL VISITS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43375761720019"/>
          <c:y val="0.15878067189544431"/>
          <c:w val="0.71119224259765423"/>
          <c:h val="0.66131044575237397"/>
        </c:manualLayout>
      </c:layout>
      <c:barChart>
        <c:barDir val="col"/>
        <c:grouping val="clustered"/>
        <c:varyColors val="0"/>
        <c:ser>
          <c:idx val="0"/>
          <c:order val="0"/>
          <c:tx>
            <c:strRef>
              <c:f>Pivot!$B$59</c:f>
              <c:strCache>
                <c:ptCount val="1"/>
                <c:pt idx="0">
                  <c:v>Count of Patient_ID</c:v>
                </c:pt>
              </c:strCache>
            </c:strRef>
          </c:tx>
          <c:spPr>
            <a:solidFill>
              <a:schemeClr val="accent1"/>
            </a:solidFill>
            <a:ln>
              <a:noFill/>
            </a:ln>
            <a:effectLst/>
          </c:spPr>
          <c:invertIfNegative val="0"/>
          <c:cat>
            <c:strRef>
              <c:f>Pivot!$A$60:$A$64</c:f>
              <c:strCache>
                <c:ptCount val="4"/>
                <c:pt idx="0">
                  <c:v>Senior</c:v>
                </c:pt>
                <c:pt idx="1">
                  <c:v>Young</c:v>
                </c:pt>
                <c:pt idx="2">
                  <c:v>Adult</c:v>
                </c:pt>
                <c:pt idx="3">
                  <c:v>blank</c:v>
                </c:pt>
              </c:strCache>
            </c:strRef>
          </c:cat>
          <c:val>
            <c:numRef>
              <c:f>Pivot!$B$60:$B$64</c:f>
              <c:numCache>
                <c:formatCode>0.000</c:formatCode>
                <c:ptCount val="4"/>
                <c:pt idx="0">
                  <c:v>53</c:v>
                </c:pt>
                <c:pt idx="1">
                  <c:v>21</c:v>
                </c:pt>
                <c:pt idx="2">
                  <c:v>17</c:v>
                </c:pt>
                <c:pt idx="3">
                  <c:v>9</c:v>
                </c:pt>
              </c:numCache>
            </c:numRef>
          </c:val>
          <c:extLst>
            <c:ext xmlns:c16="http://schemas.microsoft.com/office/drawing/2014/chart" uri="{C3380CC4-5D6E-409C-BE32-E72D297353CC}">
              <c16:uniqueId val="{00000000-F7B0-44B4-B74C-B4ED6F804CA1}"/>
            </c:ext>
          </c:extLst>
        </c:ser>
        <c:dLbls>
          <c:showLegendKey val="0"/>
          <c:showVal val="0"/>
          <c:showCatName val="0"/>
          <c:showSerName val="0"/>
          <c:showPercent val="0"/>
          <c:showBubbleSize val="0"/>
        </c:dLbls>
        <c:gapWidth val="219"/>
        <c:overlap val="-27"/>
        <c:axId val="85547664"/>
        <c:axId val="85552512"/>
      </c:barChart>
      <c:lineChart>
        <c:grouping val="standard"/>
        <c:varyColors val="0"/>
        <c:ser>
          <c:idx val="1"/>
          <c:order val="1"/>
          <c:tx>
            <c:strRef>
              <c:f>Pivot!$C$59</c:f>
              <c:strCache>
                <c:ptCount val="1"/>
                <c:pt idx="0">
                  <c:v>Average of Hospital_Visits_Per_Year</c:v>
                </c:pt>
              </c:strCache>
            </c:strRef>
          </c:tx>
          <c:spPr>
            <a:ln w="28575" cap="rnd">
              <a:solidFill>
                <a:schemeClr val="accent2"/>
              </a:solidFill>
              <a:round/>
            </a:ln>
            <a:effectLst/>
          </c:spPr>
          <c:marker>
            <c:symbol val="none"/>
          </c:marker>
          <c:cat>
            <c:strRef>
              <c:f>Pivot!$A$60:$A$64</c:f>
              <c:strCache>
                <c:ptCount val="4"/>
                <c:pt idx="0">
                  <c:v>Senior</c:v>
                </c:pt>
                <c:pt idx="1">
                  <c:v>Young</c:v>
                </c:pt>
                <c:pt idx="2">
                  <c:v>Adult</c:v>
                </c:pt>
                <c:pt idx="3">
                  <c:v>blank</c:v>
                </c:pt>
              </c:strCache>
            </c:strRef>
          </c:cat>
          <c:val>
            <c:numRef>
              <c:f>Pivot!$C$60:$C$64</c:f>
              <c:numCache>
                <c:formatCode>0.000</c:formatCode>
                <c:ptCount val="4"/>
                <c:pt idx="0">
                  <c:v>5.5434782608695654</c:v>
                </c:pt>
                <c:pt idx="1">
                  <c:v>5.5789473684210522</c:v>
                </c:pt>
                <c:pt idx="2">
                  <c:v>3.9411764705882355</c:v>
                </c:pt>
                <c:pt idx="3">
                  <c:v>5.875</c:v>
                </c:pt>
              </c:numCache>
            </c:numRef>
          </c:val>
          <c:smooth val="0"/>
          <c:extLst>
            <c:ext xmlns:c16="http://schemas.microsoft.com/office/drawing/2014/chart" uri="{C3380CC4-5D6E-409C-BE32-E72D297353CC}">
              <c16:uniqueId val="{00000001-F7B0-44B4-B74C-B4ED6F804CA1}"/>
            </c:ext>
          </c:extLst>
        </c:ser>
        <c:dLbls>
          <c:showLegendKey val="0"/>
          <c:showVal val="0"/>
          <c:showCatName val="0"/>
          <c:showSerName val="0"/>
          <c:showPercent val="0"/>
          <c:showBubbleSize val="0"/>
        </c:dLbls>
        <c:marker val="1"/>
        <c:smooth val="0"/>
        <c:axId val="211986432"/>
        <c:axId val="211987392"/>
      </c:lineChart>
      <c:catAx>
        <c:axId val="2119864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987392"/>
        <c:crosses val="autoZero"/>
        <c:auto val="1"/>
        <c:lblAlgn val="ctr"/>
        <c:lblOffset val="100"/>
        <c:noMultiLvlLbl val="0"/>
      </c:catAx>
      <c:valAx>
        <c:axId val="211987392"/>
        <c:scaling>
          <c:orientation val="minMax"/>
        </c:scaling>
        <c:delete val="0"/>
        <c:axPos val="l"/>
        <c:numFmt formatCode="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986432"/>
        <c:crosses val="autoZero"/>
        <c:crossBetween val="between"/>
      </c:valAx>
      <c:valAx>
        <c:axId val="85552512"/>
        <c:scaling>
          <c:orientation val="minMax"/>
        </c:scaling>
        <c:delete val="1"/>
        <c:axPos val="r"/>
        <c:numFmt formatCode="0.000" sourceLinked="1"/>
        <c:majorTickMark val="out"/>
        <c:minorTickMark val="none"/>
        <c:tickLblPos val="nextTo"/>
        <c:crossAx val="85547664"/>
        <c:crosses val="max"/>
        <c:crossBetween val="between"/>
      </c:valAx>
      <c:catAx>
        <c:axId val="85547664"/>
        <c:scaling>
          <c:orientation val="minMax"/>
        </c:scaling>
        <c:delete val="1"/>
        <c:axPos val="t"/>
        <c:numFmt formatCode="General" sourceLinked="1"/>
        <c:majorTickMark val="out"/>
        <c:minorTickMark val="none"/>
        <c:tickLblPos val="nextTo"/>
        <c:crossAx val="85552512"/>
        <c:crosses val="max"/>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baseline="0">
                <a:solidFill>
                  <a:schemeClr val="tx1">
                    <a:lumMod val="65000"/>
                    <a:lumOff val="35000"/>
                  </a:schemeClr>
                </a:solidFill>
                <a:latin typeface="+mn-lt"/>
                <a:ea typeface="+mn-ea"/>
                <a:cs typeface="+mn-cs"/>
              </a:defRPr>
            </a:pPr>
            <a:r>
              <a:rPr lang="en-US" b="1">
                <a:solidFill>
                  <a:schemeClr val="tx1"/>
                </a:solidFill>
              </a:rPr>
              <a:t>BMI DISTRIBUTION</a:t>
            </a:r>
          </a:p>
        </c:rich>
      </c:tx>
      <c:overlay val="0"/>
      <c:spPr>
        <a:noFill/>
        <a:ln>
          <a:noFill/>
        </a:ln>
        <a:effectLst/>
      </c:spPr>
      <c:txPr>
        <a:bodyPr rot="0" spcFirstLastPara="1" vertOverflow="ellipsis" vert="horz" wrap="square" anchor="ctr" anchorCtr="1"/>
        <a:lstStyle/>
        <a:p>
          <a:pPr>
            <a:defRPr sz="1400" b="0" i="0" u="none" strike="noStrike"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106467460798171E-2"/>
          <c:y val="0.10019126765295633"/>
          <c:w val="0.90339588801399828"/>
          <c:h val="0.78107283464566934"/>
        </c:manualLayout>
      </c:layout>
      <c:scatterChart>
        <c:scatterStyle val="lineMarker"/>
        <c:varyColors val="0"/>
        <c:ser>
          <c:idx val="0"/>
          <c:order val="0"/>
          <c:tx>
            <c:strRef>
              <c:f>healthcare_dataset!$H$1</c:f>
              <c:strCache>
                <c:ptCount val="1"/>
                <c:pt idx="0">
                  <c:v>BMI</c:v>
                </c:pt>
              </c:strCache>
            </c:strRef>
          </c:tx>
          <c:spPr>
            <a:ln w="25400" cap="rnd">
              <a:noFill/>
              <a:round/>
            </a:ln>
            <a:effectLst/>
          </c:spPr>
          <c:marker>
            <c:symbol val="circle"/>
            <c:size val="5"/>
            <c:spPr>
              <a:solidFill>
                <a:schemeClr val="accent1"/>
              </a:solidFill>
              <a:ln w="9525">
                <a:solidFill>
                  <a:schemeClr val="lt1"/>
                </a:solidFill>
              </a:ln>
              <a:effectLst/>
            </c:spPr>
          </c:marker>
          <c:yVal>
            <c:numRef>
              <c:f>healthcare_dataset!$H$2:$H$101</c:f>
              <c:numCache>
                <c:formatCode>General</c:formatCode>
                <c:ptCount val="100"/>
                <c:pt idx="0">
                  <c:v>33.799999999999997</c:v>
                </c:pt>
                <c:pt idx="1">
                  <c:v>21.7</c:v>
                </c:pt>
                <c:pt idx="2">
                  <c:v>40</c:v>
                </c:pt>
                <c:pt idx="3">
                  <c:v>24.2</c:v>
                </c:pt>
                <c:pt idx="5">
                  <c:v>27.3</c:v>
                </c:pt>
                <c:pt idx="6">
                  <c:v>19.2</c:v>
                </c:pt>
                <c:pt idx="7">
                  <c:v>25.9</c:v>
                </c:pt>
                <c:pt idx="8">
                  <c:v>32.1</c:v>
                </c:pt>
                <c:pt idx="9">
                  <c:v>33.1</c:v>
                </c:pt>
                <c:pt idx="10">
                  <c:v>29.9</c:v>
                </c:pt>
                <c:pt idx="11">
                  <c:v>28.1</c:v>
                </c:pt>
                <c:pt idx="12">
                  <c:v>30.4</c:v>
                </c:pt>
                <c:pt idx="13">
                  <c:v>31.2</c:v>
                </c:pt>
                <c:pt idx="14">
                  <c:v>20.2</c:v>
                </c:pt>
                <c:pt idx="15">
                  <c:v>26.4</c:v>
                </c:pt>
                <c:pt idx="16">
                  <c:v>23.7</c:v>
                </c:pt>
                <c:pt idx="17">
                  <c:v>35.799999999999997</c:v>
                </c:pt>
                <c:pt idx="18">
                  <c:v>28.6</c:v>
                </c:pt>
                <c:pt idx="19">
                  <c:v>39.6</c:v>
                </c:pt>
                <c:pt idx="20">
                  <c:v>27.1</c:v>
                </c:pt>
                <c:pt idx="21">
                  <c:v>36.1</c:v>
                </c:pt>
                <c:pt idx="22">
                  <c:v>35.700000000000003</c:v>
                </c:pt>
                <c:pt idx="23">
                  <c:v>21.7</c:v>
                </c:pt>
                <c:pt idx="24">
                  <c:v>29.4</c:v>
                </c:pt>
                <c:pt idx="25">
                  <c:v>33.5</c:v>
                </c:pt>
                <c:pt idx="27">
                  <c:v>25.5</c:v>
                </c:pt>
                <c:pt idx="28">
                  <c:v>23.2</c:v>
                </c:pt>
                <c:pt idx="29">
                  <c:v>33.799999999999997</c:v>
                </c:pt>
                <c:pt idx="30">
                  <c:v>35.9</c:v>
                </c:pt>
                <c:pt idx="31">
                  <c:v>26</c:v>
                </c:pt>
                <c:pt idx="32">
                  <c:v>20.6</c:v>
                </c:pt>
                <c:pt idx="33">
                  <c:v>38.700000000000003</c:v>
                </c:pt>
                <c:pt idx="34">
                  <c:v>27</c:v>
                </c:pt>
                <c:pt idx="35">
                  <c:v>29.6</c:v>
                </c:pt>
                <c:pt idx="36">
                  <c:v>36.5</c:v>
                </c:pt>
                <c:pt idx="37">
                  <c:v>33</c:v>
                </c:pt>
                <c:pt idx="39">
                  <c:v>23</c:v>
                </c:pt>
                <c:pt idx="40">
                  <c:v>30.1</c:v>
                </c:pt>
                <c:pt idx="41">
                  <c:v>33.5</c:v>
                </c:pt>
                <c:pt idx="42">
                  <c:v>23.4</c:v>
                </c:pt>
                <c:pt idx="43">
                  <c:v>22.3</c:v>
                </c:pt>
                <c:pt idx="44">
                  <c:v>39.6</c:v>
                </c:pt>
                <c:pt idx="45">
                  <c:v>29.6</c:v>
                </c:pt>
                <c:pt idx="46">
                  <c:v>24.1</c:v>
                </c:pt>
                <c:pt idx="47">
                  <c:v>39.9</c:v>
                </c:pt>
                <c:pt idx="48">
                  <c:v>39.299999999999997</c:v>
                </c:pt>
                <c:pt idx="49">
                  <c:v>30.5</c:v>
                </c:pt>
                <c:pt idx="50">
                  <c:v>37.5</c:v>
                </c:pt>
                <c:pt idx="51">
                  <c:v>22.6</c:v>
                </c:pt>
                <c:pt idx="52">
                  <c:v>24.5</c:v>
                </c:pt>
                <c:pt idx="53">
                  <c:v>33.6</c:v>
                </c:pt>
                <c:pt idx="54">
                  <c:v>36.700000000000003</c:v>
                </c:pt>
                <c:pt idx="55">
                  <c:v>36.9</c:v>
                </c:pt>
                <c:pt idx="56">
                  <c:v>27.2</c:v>
                </c:pt>
                <c:pt idx="57">
                  <c:v>37.6</c:v>
                </c:pt>
                <c:pt idx="59">
                  <c:v>38.6</c:v>
                </c:pt>
                <c:pt idx="60">
                  <c:v>35.4</c:v>
                </c:pt>
                <c:pt idx="61">
                  <c:v>32.9</c:v>
                </c:pt>
                <c:pt idx="62">
                  <c:v>31</c:v>
                </c:pt>
                <c:pt idx="63">
                  <c:v>26.5</c:v>
                </c:pt>
                <c:pt idx="64">
                  <c:v>38.700000000000003</c:v>
                </c:pt>
                <c:pt idx="65">
                  <c:v>39.4</c:v>
                </c:pt>
                <c:pt idx="66">
                  <c:v>24.6</c:v>
                </c:pt>
                <c:pt idx="67">
                  <c:v>25.1</c:v>
                </c:pt>
                <c:pt idx="68">
                  <c:v>28.9</c:v>
                </c:pt>
                <c:pt idx="71">
                  <c:v>22.3</c:v>
                </c:pt>
                <c:pt idx="73">
                  <c:v>29.1</c:v>
                </c:pt>
                <c:pt idx="74">
                  <c:v>22.3</c:v>
                </c:pt>
                <c:pt idx="75">
                  <c:v>26.4</c:v>
                </c:pt>
                <c:pt idx="76">
                  <c:v>34.5</c:v>
                </c:pt>
                <c:pt idx="77">
                  <c:v>34</c:v>
                </c:pt>
                <c:pt idx="78">
                  <c:v>25.1</c:v>
                </c:pt>
                <c:pt idx="79">
                  <c:v>30.2</c:v>
                </c:pt>
                <c:pt idx="81">
                  <c:v>32.200000000000003</c:v>
                </c:pt>
                <c:pt idx="82">
                  <c:v>23.9</c:v>
                </c:pt>
                <c:pt idx="83">
                  <c:v>31.2</c:v>
                </c:pt>
                <c:pt idx="84">
                  <c:v>39.5</c:v>
                </c:pt>
                <c:pt idx="85">
                  <c:v>29</c:v>
                </c:pt>
                <c:pt idx="87">
                  <c:v>27.8</c:v>
                </c:pt>
                <c:pt idx="88">
                  <c:v>26</c:v>
                </c:pt>
                <c:pt idx="89">
                  <c:v>32.4</c:v>
                </c:pt>
                <c:pt idx="90">
                  <c:v>32.9</c:v>
                </c:pt>
                <c:pt idx="92">
                  <c:v>23.4</c:v>
                </c:pt>
                <c:pt idx="94">
                  <c:v>30.8</c:v>
                </c:pt>
                <c:pt idx="95">
                  <c:v>35</c:v>
                </c:pt>
                <c:pt idx="96">
                  <c:v>19.399999999999999</c:v>
                </c:pt>
                <c:pt idx="97">
                  <c:v>39.9</c:v>
                </c:pt>
                <c:pt idx="98">
                  <c:v>28.6</c:v>
                </c:pt>
                <c:pt idx="99">
                  <c:v>24.5</c:v>
                </c:pt>
              </c:numCache>
            </c:numRef>
          </c:yVal>
          <c:smooth val="0"/>
          <c:extLst>
            <c:ext xmlns:c16="http://schemas.microsoft.com/office/drawing/2014/chart" uri="{C3380CC4-5D6E-409C-BE32-E72D297353CC}">
              <c16:uniqueId val="{00000000-1572-4022-BE22-565C2B11CA4A}"/>
            </c:ext>
          </c:extLst>
        </c:ser>
        <c:dLbls>
          <c:showLegendKey val="0"/>
          <c:showVal val="0"/>
          <c:showCatName val="0"/>
          <c:showSerName val="0"/>
          <c:showPercent val="0"/>
          <c:showBubbleSize val="0"/>
        </c:dLbls>
        <c:axId val="1576615295"/>
        <c:axId val="1576610975"/>
      </c:scatterChart>
      <c:valAx>
        <c:axId val="15766152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en-US"/>
          </a:p>
        </c:txPr>
        <c:crossAx val="1576610975"/>
        <c:crosses val="autoZero"/>
        <c:crossBetween val="midCat"/>
      </c:valAx>
      <c:valAx>
        <c:axId val="157661097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en-US"/>
          </a:p>
        </c:txPr>
        <c:crossAx val="157661529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[healthcare_dataset (Recovered).xlsx]Pivot!PivotTable24</c:name>
    <c:fmtId val="5"/>
  </c:pivotSource>
  <c:chart>
    <c:title>
      <c:tx>
        <c:rich>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r>
              <a:rPr lang="en-US" sz="900" b="1">
                <a:solidFill>
                  <a:schemeClr val="tx1"/>
                </a:solidFill>
              </a:rPr>
              <a:t>EXERCISE FREQUENCY VS DIABETIC STATUS</a:t>
            </a:r>
          </a:p>
        </c:rich>
      </c:tx>
      <c:overlay val="0"/>
      <c:spPr>
        <a:noFill/>
        <a:ln>
          <a:noFill/>
        </a:ln>
        <a:effectLst/>
      </c:spPr>
      <c:txPr>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Pivot!$B$88:$B$89</c:f>
              <c:strCache>
                <c:ptCount val="1"/>
                <c:pt idx="0">
                  <c:v>No</c:v>
                </c:pt>
              </c:strCache>
            </c:strRef>
          </c:tx>
          <c:spPr>
            <a:solidFill>
              <a:schemeClr val="accent1"/>
            </a:solidFill>
            <a:ln>
              <a:noFill/>
            </a:ln>
            <a:effectLst/>
          </c:spPr>
          <c:invertIfNegative val="0"/>
          <c:cat>
            <c:strRef>
              <c:f>Pivot!$A$90:$A$98</c:f>
              <c:strCache>
                <c:ptCount val="8"/>
                <c:pt idx="0">
                  <c:v>0</c:v>
                </c:pt>
                <c:pt idx="1">
                  <c:v>1</c:v>
                </c:pt>
                <c:pt idx="2">
                  <c:v>2</c:v>
                </c:pt>
                <c:pt idx="3">
                  <c:v>3</c:v>
                </c:pt>
                <c:pt idx="4">
                  <c:v>4</c:v>
                </c:pt>
                <c:pt idx="5">
                  <c:v>5</c:v>
                </c:pt>
                <c:pt idx="6">
                  <c:v>6</c:v>
                </c:pt>
                <c:pt idx="7">
                  <c:v>(blank)</c:v>
                </c:pt>
              </c:strCache>
            </c:strRef>
          </c:cat>
          <c:val>
            <c:numRef>
              <c:f>Pivot!$B$90:$B$98</c:f>
              <c:numCache>
                <c:formatCode>General</c:formatCode>
                <c:ptCount val="8"/>
                <c:pt idx="0">
                  <c:v>18</c:v>
                </c:pt>
                <c:pt idx="1">
                  <c:v>9</c:v>
                </c:pt>
                <c:pt idx="2">
                  <c:v>5</c:v>
                </c:pt>
                <c:pt idx="3">
                  <c:v>4</c:v>
                </c:pt>
                <c:pt idx="4">
                  <c:v>10</c:v>
                </c:pt>
                <c:pt idx="5">
                  <c:v>9</c:v>
                </c:pt>
                <c:pt idx="6">
                  <c:v>12</c:v>
                </c:pt>
                <c:pt idx="7">
                  <c:v>6</c:v>
                </c:pt>
              </c:numCache>
            </c:numRef>
          </c:val>
          <c:extLst>
            <c:ext xmlns:c16="http://schemas.microsoft.com/office/drawing/2014/chart" uri="{C3380CC4-5D6E-409C-BE32-E72D297353CC}">
              <c16:uniqueId val="{00000000-FBB3-439C-A646-BC27A0B481EC}"/>
            </c:ext>
          </c:extLst>
        </c:ser>
        <c:ser>
          <c:idx val="1"/>
          <c:order val="1"/>
          <c:tx>
            <c:strRef>
              <c:f>Pivot!$C$88:$C$89</c:f>
              <c:strCache>
                <c:ptCount val="1"/>
                <c:pt idx="0">
                  <c:v>Yes</c:v>
                </c:pt>
              </c:strCache>
            </c:strRef>
          </c:tx>
          <c:spPr>
            <a:solidFill>
              <a:schemeClr val="accent2"/>
            </a:solidFill>
            <a:ln>
              <a:noFill/>
            </a:ln>
            <a:effectLst/>
          </c:spPr>
          <c:invertIfNegative val="0"/>
          <c:cat>
            <c:strRef>
              <c:f>Pivot!$A$90:$A$98</c:f>
              <c:strCache>
                <c:ptCount val="8"/>
                <c:pt idx="0">
                  <c:v>0</c:v>
                </c:pt>
                <c:pt idx="1">
                  <c:v>1</c:v>
                </c:pt>
                <c:pt idx="2">
                  <c:v>2</c:v>
                </c:pt>
                <c:pt idx="3">
                  <c:v>3</c:v>
                </c:pt>
                <c:pt idx="4">
                  <c:v>4</c:v>
                </c:pt>
                <c:pt idx="5">
                  <c:v>5</c:v>
                </c:pt>
                <c:pt idx="6">
                  <c:v>6</c:v>
                </c:pt>
                <c:pt idx="7">
                  <c:v>(blank)</c:v>
                </c:pt>
              </c:strCache>
            </c:strRef>
          </c:cat>
          <c:val>
            <c:numRef>
              <c:f>Pivot!$C$90:$C$98</c:f>
              <c:numCache>
                <c:formatCode>General</c:formatCode>
                <c:ptCount val="8"/>
                <c:pt idx="0">
                  <c:v>1</c:v>
                </c:pt>
                <c:pt idx="1">
                  <c:v>1</c:v>
                </c:pt>
                <c:pt idx="2">
                  <c:v>7</c:v>
                </c:pt>
                <c:pt idx="3">
                  <c:v>3</c:v>
                </c:pt>
                <c:pt idx="4">
                  <c:v>1</c:v>
                </c:pt>
                <c:pt idx="5">
                  <c:v>3</c:v>
                </c:pt>
                <c:pt idx="6">
                  <c:v>1</c:v>
                </c:pt>
              </c:numCache>
            </c:numRef>
          </c:val>
          <c:extLst>
            <c:ext xmlns:c16="http://schemas.microsoft.com/office/drawing/2014/chart" uri="{C3380CC4-5D6E-409C-BE32-E72D297353CC}">
              <c16:uniqueId val="{00000001-0F94-4E2C-86E6-F7E09E37D53E}"/>
            </c:ext>
          </c:extLst>
        </c:ser>
        <c:ser>
          <c:idx val="2"/>
          <c:order val="2"/>
          <c:tx>
            <c:strRef>
              <c:f>Pivot!$D$88:$D$89</c:f>
              <c:strCache>
                <c:ptCount val="1"/>
                <c:pt idx="0">
                  <c:v>(blank)</c:v>
                </c:pt>
              </c:strCache>
            </c:strRef>
          </c:tx>
          <c:spPr>
            <a:solidFill>
              <a:schemeClr val="accent3"/>
            </a:solidFill>
            <a:ln>
              <a:noFill/>
            </a:ln>
            <a:effectLst/>
          </c:spPr>
          <c:invertIfNegative val="0"/>
          <c:cat>
            <c:strRef>
              <c:f>Pivot!$A$90:$A$98</c:f>
              <c:strCache>
                <c:ptCount val="8"/>
                <c:pt idx="0">
                  <c:v>0</c:v>
                </c:pt>
                <c:pt idx="1">
                  <c:v>1</c:v>
                </c:pt>
                <c:pt idx="2">
                  <c:v>2</c:v>
                </c:pt>
                <c:pt idx="3">
                  <c:v>3</c:v>
                </c:pt>
                <c:pt idx="4">
                  <c:v>4</c:v>
                </c:pt>
                <c:pt idx="5">
                  <c:v>5</c:v>
                </c:pt>
                <c:pt idx="6">
                  <c:v>6</c:v>
                </c:pt>
                <c:pt idx="7">
                  <c:v>(blank)</c:v>
                </c:pt>
              </c:strCache>
            </c:strRef>
          </c:cat>
          <c:val>
            <c:numRef>
              <c:f>Pivot!$D$90:$D$98</c:f>
              <c:numCache>
                <c:formatCode>General</c:formatCode>
                <c:ptCount val="8"/>
                <c:pt idx="0">
                  <c:v>1</c:v>
                </c:pt>
                <c:pt idx="2">
                  <c:v>3</c:v>
                </c:pt>
                <c:pt idx="3">
                  <c:v>2</c:v>
                </c:pt>
                <c:pt idx="4">
                  <c:v>1</c:v>
                </c:pt>
                <c:pt idx="5">
                  <c:v>1</c:v>
                </c:pt>
                <c:pt idx="6">
                  <c:v>2</c:v>
                </c:pt>
              </c:numCache>
            </c:numRef>
          </c:val>
          <c:extLst>
            <c:ext xmlns:c16="http://schemas.microsoft.com/office/drawing/2014/chart" uri="{C3380CC4-5D6E-409C-BE32-E72D297353CC}">
              <c16:uniqueId val="{00000002-0F94-4E2C-86E6-F7E09E37D53E}"/>
            </c:ext>
          </c:extLst>
        </c:ser>
        <c:dLbls>
          <c:showLegendKey val="0"/>
          <c:showVal val="0"/>
          <c:showCatName val="0"/>
          <c:showSerName val="0"/>
          <c:showPercent val="0"/>
          <c:showBubbleSize val="0"/>
        </c:dLbls>
        <c:gapWidth val="150"/>
        <c:overlap val="100"/>
        <c:axId val="315825936"/>
        <c:axId val="315813456"/>
      </c:barChart>
      <c:catAx>
        <c:axId val="315825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5813456"/>
        <c:crosses val="autoZero"/>
        <c:auto val="1"/>
        <c:lblAlgn val="ctr"/>
        <c:lblOffset val="100"/>
        <c:noMultiLvlLbl val="0"/>
      </c:catAx>
      <c:valAx>
        <c:axId val="31581345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5825936"/>
        <c:crosses val="autoZero"/>
        <c:crossBetween val="between"/>
      </c:valAx>
      <c:spPr>
        <a:noFill/>
        <a:ln>
          <a:noFill/>
        </a:ln>
        <a:effectLst/>
      </c:spPr>
    </c:plotArea>
    <c:legend>
      <c:legendPos val="r"/>
      <c:layout>
        <c:manualLayout>
          <c:xMode val="edge"/>
          <c:yMode val="edge"/>
          <c:x val="0.80428942102008127"/>
          <c:y val="0.411479006286042"/>
          <c:w val="0.17456254373230518"/>
          <c:h val="0.3027127144129914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[healthcare_dataset (Recovered).xlsx]Pivot!PivotTable27</c:name>
    <c:fmtId val="3"/>
  </c:pivotSource>
  <c:chart>
    <c:title>
      <c:tx>
        <c:rich>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r>
              <a:rPr lang="en-US" sz="900" b="1">
                <a:solidFill>
                  <a:schemeClr val="tx1"/>
                </a:solidFill>
              </a:rPr>
              <a:t>AVERAGE OF BP_ VALUE PER AGE GROUP</a:t>
            </a:r>
          </a:p>
        </c:rich>
      </c:tx>
      <c:layout>
        <c:manualLayout>
          <c:xMode val="edge"/>
          <c:yMode val="edge"/>
          <c:x val="0.10409149755051553"/>
          <c:y val="2.7761277062463421E-2"/>
        </c:manualLayout>
      </c:layout>
      <c:overlay val="0"/>
      <c:spPr>
        <a:noFill/>
        <a:ln>
          <a:noFill/>
        </a:ln>
        <a:effectLst/>
      </c:spPr>
      <c:txPr>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556391051493799E-2"/>
          <c:y val="0.21815564207537624"/>
          <c:w val="0.83977756767270884"/>
          <c:h val="0.64897899360518074"/>
        </c:manualLayout>
      </c:layout>
      <c:lineChart>
        <c:grouping val="standard"/>
        <c:varyColors val="0"/>
        <c:ser>
          <c:idx val="0"/>
          <c:order val="0"/>
          <c:tx>
            <c:strRef>
              <c:f>Pivot!$H$78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Pivot!$G$79:$G$83</c:f>
              <c:strCache>
                <c:ptCount val="4"/>
                <c:pt idx="0">
                  <c:v>Adult</c:v>
                </c:pt>
                <c:pt idx="1">
                  <c:v>blank</c:v>
                </c:pt>
                <c:pt idx="2">
                  <c:v>Senior</c:v>
                </c:pt>
                <c:pt idx="3">
                  <c:v>Young</c:v>
                </c:pt>
              </c:strCache>
            </c:strRef>
          </c:cat>
          <c:val>
            <c:numRef>
              <c:f>Pivot!$H$79:$H$83</c:f>
              <c:numCache>
                <c:formatCode>General</c:formatCode>
                <c:ptCount val="4"/>
                <c:pt idx="0">
                  <c:v>1.625</c:v>
                </c:pt>
                <c:pt idx="1">
                  <c:v>2</c:v>
                </c:pt>
                <c:pt idx="2">
                  <c:v>1.6666666666666667</c:v>
                </c:pt>
                <c:pt idx="3">
                  <c:v>1.6842105263157894</c:v>
                </c:pt>
              </c:numCache>
            </c:numRef>
          </c:val>
          <c:smooth val="0"/>
          <c:extLst>
            <c:ext xmlns:c16="http://schemas.microsoft.com/office/drawing/2014/chart" uri="{C3380CC4-5D6E-409C-BE32-E72D297353CC}">
              <c16:uniqueId val="{00000000-92BA-4398-83D7-6130A976A1BC}"/>
            </c:ext>
          </c:extLst>
        </c:ser>
        <c:dLbls>
          <c:showLegendKey val="0"/>
          <c:showVal val="0"/>
          <c:showCatName val="0"/>
          <c:showSerName val="0"/>
          <c:showPercent val="0"/>
          <c:showBubbleSize val="0"/>
        </c:dLbls>
        <c:marker val="1"/>
        <c:smooth val="0"/>
        <c:axId val="211990272"/>
        <c:axId val="211986432"/>
      </c:lineChart>
      <c:catAx>
        <c:axId val="2119902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986432"/>
        <c:crosses val="autoZero"/>
        <c:auto val="1"/>
        <c:lblAlgn val="ctr"/>
        <c:lblOffset val="100"/>
        <c:noMultiLvlLbl val="0"/>
      </c:catAx>
      <c:valAx>
        <c:axId val="21198643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9902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[healthcare_dataset (Recovered).xlsx]Pivot!PivotTable17</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800" b="1">
                <a:solidFill>
                  <a:schemeClr val="tx1"/>
                </a:solidFill>
              </a:rPr>
              <a:t>AGE GROUP VS COUNT OF PATIENTS</a:t>
            </a:r>
            <a:r>
              <a:rPr lang="en-US" sz="800" b="1" baseline="0">
                <a:solidFill>
                  <a:schemeClr val="tx1"/>
                </a:solidFill>
              </a:rPr>
              <a:t> AND THE AVERAGE VISITS</a:t>
            </a:r>
            <a:endParaRPr lang="en-US" sz="8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43399230784863"/>
          <c:y val="0.18755899602851211"/>
          <c:w val="0.80297199500547867"/>
          <c:h val="0.50543268488497772"/>
        </c:manualLayout>
      </c:layout>
      <c:areaChart>
        <c:grouping val="standard"/>
        <c:varyColors val="0"/>
        <c:ser>
          <c:idx val="0"/>
          <c:order val="0"/>
          <c:tx>
            <c:strRef>
              <c:f>Pivot!$B$59</c:f>
              <c:strCache>
                <c:ptCount val="1"/>
                <c:pt idx="0">
                  <c:v>Count of Patient_ID</c:v>
                </c:pt>
              </c:strCache>
            </c:strRef>
          </c:tx>
          <c:spPr>
            <a:solidFill>
              <a:schemeClr val="accent1"/>
            </a:solidFill>
            <a:ln>
              <a:noFill/>
            </a:ln>
            <a:effectLst/>
          </c:spPr>
          <c:cat>
            <c:strRef>
              <c:f>Pivot!$A$60:$A$64</c:f>
              <c:strCache>
                <c:ptCount val="4"/>
                <c:pt idx="0">
                  <c:v>Senior</c:v>
                </c:pt>
                <c:pt idx="1">
                  <c:v>Young</c:v>
                </c:pt>
                <c:pt idx="2">
                  <c:v>Adult</c:v>
                </c:pt>
                <c:pt idx="3">
                  <c:v>blank</c:v>
                </c:pt>
              </c:strCache>
            </c:strRef>
          </c:cat>
          <c:val>
            <c:numRef>
              <c:f>Pivot!$B$60:$B$64</c:f>
              <c:numCache>
                <c:formatCode>0.000</c:formatCode>
                <c:ptCount val="4"/>
                <c:pt idx="0">
                  <c:v>53</c:v>
                </c:pt>
                <c:pt idx="1">
                  <c:v>21</c:v>
                </c:pt>
                <c:pt idx="2">
                  <c:v>17</c:v>
                </c:pt>
                <c:pt idx="3">
                  <c:v>9</c:v>
                </c:pt>
              </c:numCache>
            </c:numRef>
          </c:val>
          <c:extLst>
            <c:ext xmlns:c16="http://schemas.microsoft.com/office/drawing/2014/chart" uri="{C3380CC4-5D6E-409C-BE32-E72D297353CC}">
              <c16:uniqueId val="{00000000-4B46-406E-B44C-0822607F493A}"/>
            </c:ext>
          </c:extLst>
        </c:ser>
        <c:ser>
          <c:idx val="1"/>
          <c:order val="1"/>
          <c:tx>
            <c:strRef>
              <c:f>Pivot!$C$59</c:f>
              <c:strCache>
                <c:ptCount val="1"/>
                <c:pt idx="0">
                  <c:v>Average of Hospital_Visits_Per_Year</c:v>
                </c:pt>
              </c:strCache>
            </c:strRef>
          </c:tx>
          <c:spPr>
            <a:solidFill>
              <a:schemeClr val="accent2"/>
            </a:solidFill>
            <a:ln>
              <a:noFill/>
            </a:ln>
            <a:effectLst/>
          </c:spPr>
          <c:cat>
            <c:strRef>
              <c:f>Pivot!$A$60:$A$64</c:f>
              <c:strCache>
                <c:ptCount val="4"/>
                <c:pt idx="0">
                  <c:v>Senior</c:v>
                </c:pt>
                <c:pt idx="1">
                  <c:v>Young</c:v>
                </c:pt>
                <c:pt idx="2">
                  <c:v>Adult</c:v>
                </c:pt>
                <c:pt idx="3">
                  <c:v>blank</c:v>
                </c:pt>
              </c:strCache>
            </c:strRef>
          </c:cat>
          <c:val>
            <c:numRef>
              <c:f>Pivot!$C$60:$C$64</c:f>
              <c:numCache>
                <c:formatCode>0.000</c:formatCode>
                <c:ptCount val="4"/>
                <c:pt idx="0">
                  <c:v>5.5434782608695654</c:v>
                </c:pt>
                <c:pt idx="1">
                  <c:v>5.5789473684210522</c:v>
                </c:pt>
                <c:pt idx="2">
                  <c:v>3.9411764705882355</c:v>
                </c:pt>
                <c:pt idx="3">
                  <c:v>5.875</c:v>
                </c:pt>
              </c:numCache>
            </c:numRef>
          </c:val>
          <c:extLst>
            <c:ext xmlns:c16="http://schemas.microsoft.com/office/drawing/2014/chart" uri="{C3380CC4-5D6E-409C-BE32-E72D297353CC}">
              <c16:uniqueId val="{00000001-4B46-406E-B44C-0822607F493A}"/>
            </c:ext>
          </c:extLst>
        </c:ser>
        <c:dLbls>
          <c:showLegendKey val="0"/>
          <c:showVal val="0"/>
          <c:showCatName val="0"/>
          <c:showSerName val="0"/>
          <c:showPercent val="0"/>
          <c:showBubbleSize val="0"/>
        </c:dLbls>
        <c:axId val="1027563872"/>
        <c:axId val="939922864"/>
      </c:areaChart>
      <c:catAx>
        <c:axId val="10275638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9922864"/>
        <c:crosses val="autoZero"/>
        <c:auto val="1"/>
        <c:lblAlgn val="ctr"/>
        <c:lblOffset val="100"/>
        <c:noMultiLvlLbl val="0"/>
      </c:catAx>
      <c:valAx>
        <c:axId val="939922864"/>
        <c:scaling>
          <c:orientation val="minMax"/>
        </c:scaling>
        <c:delete val="0"/>
        <c:axPos val="l"/>
        <c:numFmt formatCode="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7563872"/>
        <c:crosses val="autoZero"/>
        <c:crossBetween val="midCat"/>
      </c:valAx>
      <c:spPr>
        <a:noFill/>
        <a:ln>
          <a:noFill/>
        </a:ln>
        <a:effectLst/>
      </c:spPr>
    </c:plotArea>
    <c:legend>
      <c:legendPos val="b"/>
      <c:layout>
        <c:manualLayout>
          <c:xMode val="edge"/>
          <c:yMode val="edge"/>
          <c:x val="0.18966945466920612"/>
          <c:y val="0.77130833640657226"/>
          <c:w val="0.73544380757185868"/>
          <c:h val="0.2276655302721059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[healthcare_dataset (Recovered).xlsx]Pivot!PivotTable8</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Pivot!$K$12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EB6-4E83-AB99-4EA9062C4E8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EB6-4E83-AB99-4EA9062C4E8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EB6-4E83-AB99-4EA9062C4E80}"/>
              </c:ext>
            </c:extLst>
          </c:dPt>
          <c:cat>
            <c:strRef>
              <c:f>Pivot!$J$13:$J$16</c:f>
              <c:strCache>
                <c:ptCount val="3"/>
                <c:pt idx="0">
                  <c:v>No</c:v>
                </c:pt>
                <c:pt idx="1">
                  <c:v>Yes</c:v>
                </c:pt>
                <c:pt idx="2">
                  <c:v>(blank)</c:v>
                </c:pt>
              </c:strCache>
            </c:strRef>
          </c:cat>
          <c:val>
            <c:numRef>
              <c:f>Pivot!$K$13:$K$16</c:f>
              <c:numCache>
                <c:formatCode>General</c:formatCode>
                <c:ptCount val="3"/>
                <c:pt idx="0">
                  <c:v>73</c:v>
                </c:pt>
                <c:pt idx="1">
                  <c:v>17</c:v>
                </c:pt>
                <c:pt idx="2">
                  <c:v>10</c:v>
                </c:pt>
              </c:numCache>
            </c:numRef>
          </c:val>
          <c:extLst>
            <c:ext xmlns:c16="http://schemas.microsoft.com/office/drawing/2014/chart" uri="{C3380CC4-5D6E-409C-BE32-E72D297353CC}">
              <c16:uniqueId val="{00000006-6EB6-4E83-AB99-4EA9062C4E8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[healthcare_dataset (Recovered).xlsx]Pivot!PivotTable11</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Pivot!$F$23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469-4A22-8350-96780196C57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469-4A22-8350-96780196C57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469-4A22-8350-96780196C57F}"/>
              </c:ext>
            </c:extLst>
          </c:dPt>
          <c:cat>
            <c:strRef>
              <c:f>Pivot!$E$24:$E$27</c:f>
              <c:strCache>
                <c:ptCount val="3"/>
                <c:pt idx="0">
                  <c:v>Non-Smoker</c:v>
                </c:pt>
                <c:pt idx="1">
                  <c:v>Smoker</c:v>
                </c:pt>
                <c:pt idx="2">
                  <c:v>(blank)</c:v>
                </c:pt>
              </c:strCache>
            </c:strRef>
          </c:cat>
          <c:val>
            <c:numRef>
              <c:f>Pivot!$F$24:$F$27</c:f>
              <c:numCache>
                <c:formatCode>General</c:formatCode>
                <c:ptCount val="3"/>
                <c:pt idx="0">
                  <c:v>69</c:v>
                </c:pt>
                <c:pt idx="1">
                  <c:v>22</c:v>
                </c:pt>
                <c:pt idx="2">
                  <c:v>9</c:v>
                </c:pt>
              </c:numCache>
            </c:numRef>
          </c:val>
          <c:extLst>
            <c:ext xmlns:c16="http://schemas.microsoft.com/office/drawing/2014/chart" uri="{C3380CC4-5D6E-409C-BE32-E72D297353CC}">
              <c16:uniqueId val="{00000006-5469-4A22-8350-96780196C57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163286</xdr:colOff>
      <xdr:row>12</xdr:row>
      <xdr:rowOff>65314</xdr:rowOff>
    </xdr:from>
    <xdr:to>
      <xdr:col>5</xdr:col>
      <xdr:colOff>10886</xdr:colOff>
      <xdr:row>24</xdr:row>
      <xdr:rowOff>108858</xdr:rowOff>
    </xdr:to>
    <xdr:sp macro="" textlink="">
      <xdr:nvSpPr>
        <xdr:cNvPr id="18" name="Rectangle: Rounded Corners 17">
          <a:extLst>
            <a:ext uri="{FF2B5EF4-FFF2-40B4-BE49-F238E27FC236}">
              <a16:creationId xmlns:a16="http://schemas.microsoft.com/office/drawing/2014/main" id="{24F908A3-EB52-418B-B677-DF9D26251F49}"/>
            </a:ext>
          </a:extLst>
        </xdr:cNvPr>
        <xdr:cNvSpPr/>
      </xdr:nvSpPr>
      <xdr:spPr>
        <a:xfrm>
          <a:off x="163286" y="2286000"/>
          <a:ext cx="2895600" cy="2264229"/>
        </a:xfrm>
        <a:prstGeom prst="roundRect">
          <a:avLst/>
        </a:prstGeom>
        <a:solidFill>
          <a:schemeClr val="bg1"/>
        </a:solidFill>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65314</xdr:colOff>
      <xdr:row>12</xdr:row>
      <xdr:rowOff>152400</xdr:rowOff>
    </xdr:from>
    <xdr:to>
      <xdr:col>11</xdr:col>
      <xdr:colOff>566057</xdr:colOff>
      <xdr:row>24</xdr:row>
      <xdr:rowOff>141515</xdr:rowOff>
    </xdr:to>
    <xdr:sp macro="" textlink="">
      <xdr:nvSpPr>
        <xdr:cNvPr id="17" name="Rectangle: Rounded Corners 16">
          <a:extLst>
            <a:ext uri="{FF2B5EF4-FFF2-40B4-BE49-F238E27FC236}">
              <a16:creationId xmlns:a16="http://schemas.microsoft.com/office/drawing/2014/main" id="{D2809EBB-9636-4228-902E-8F4E008CF925}"/>
            </a:ext>
          </a:extLst>
        </xdr:cNvPr>
        <xdr:cNvSpPr/>
      </xdr:nvSpPr>
      <xdr:spPr>
        <a:xfrm>
          <a:off x="3722914" y="2373086"/>
          <a:ext cx="3548743" cy="2209800"/>
        </a:xfrm>
        <a:prstGeom prst="roundRect">
          <a:avLst/>
        </a:prstGeom>
        <a:solidFill>
          <a:schemeClr val="bg1"/>
        </a:solidFill>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533400</xdr:colOff>
      <xdr:row>12</xdr:row>
      <xdr:rowOff>76200</xdr:rowOff>
    </xdr:from>
    <xdr:to>
      <xdr:col>18</xdr:col>
      <xdr:colOff>576943</xdr:colOff>
      <xdr:row>24</xdr:row>
      <xdr:rowOff>97973</xdr:rowOff>
    </xdr:to>
    <xdr:sp macro="" textlink="">
      <xdr:nvSpPr>
        <xdr:cNvPr id="16" name="Rectangle: Rounded Corners 15">
          <a:extLst>
            <a:ext uri="{FF2B5EF4-FFF2-40B4-BE49-F238E27FC236}">
              <a16:creationId xmlns:a16="http://schemas.microsoft.com/office/drawing/2014/main" id="{CD068A47-6A9D-4C35-B88C-B1CEE414E4F3}"/>
            </a:ext>
          </a:extLst>
        </xdr:cNvPr>
        <xdr:cNvSpPr/>
      </xdr:nvSpPr>
      <xdr:spPr>
        <a:xfrm>
          <a:off x="7848600" y="2296886"/>
          <a:ext cx="3701143" cy="2242458"/>
        </a:xfrm>
        <a:prstGeom prst="roundRect">
          <a:avLst/>
        </a:prstGeom>
        <a:solidFill>
          <a:schemeClr val="bg1"/>
        </a:solidFill>
        <a:effectLst>
          <a:outerShdw blurRad="50800" dist="38100" dir="13500000" algn="b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54429</xdr:colOff>
      <xdr:row>0</xdr:row>
      <xdr:rowOff>108858</xdr:rowOff>
    </xdr:from>
    <xdr:to>
      <xdr:col>18</xdr:col>
      <xdr:colOff>478973</xdr:colOff>
      <xdr:row>11</xdr:row>
      <xdr:rowOff>130628</xdr:rowOff>
    </xdr:to>
    <xdr:sp macro="" textlink="">
      <xdr:nvSpPr>
        <xdr:cNvPr id="14" name="Rectangle: Rounded Corners 13">
          <a:extLst>
            <a:ext uri="{FF2B5EF4-FFF2-40B4-BE49-F238E27FC236}">
              <a16:creationId xmlns:a16="http://schemas.microsoft.com/office/drawing/2014/main" id="{955E70B4-256D-4565-9D4A-95D4D5B6F1BC}"/>
            </a:ext>
          </a:extLst>
        </xdr:cNvPr>
        <xdr:cNvSpPr/>
      </xdr:nvSpPr>
      <xdr:spPr>
        <a:xfrm>
          <a:off x="7979229" y="108858"/>
          <a:ext cx="3472544" cy="2057399"/>
        </a:xfrm>
        <a:prstGeom prst="roundRect">
          <a:avLst/>
        </a:prstGeom>
        <a:solidFill>
          <a:schemeClr val="bg1"/>
        </a:solidFill>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152400</xdr:colOff>
      <xdr:row>0</xdr:row>
      <xdr:rowOff>87084</xdr:rowOff>
    </xdr:from>
    <xdr:to>
      <xdr:col>11</xdr:col>
      <xdr:colOff>500744</xdr:colOff>
      <xdr:row>10</xdr:row>
      <xdr:rowOff>152400</xdr:rowOff>
    </xdr:to>
    <xdr:sp macro="" textlink="">
      <xdr:nvSpPr>
        <xdr:cNvPr id="13" name="Rectangle: Rounded Corners 12">
          <a:extLst>
            <a:ext uri="{FF2B5EF4-FFF2-40B4-BE49-F238E27FC236}">
              <a16:creationId xmlns:a16="http://schemas.microsoft.com/office/drawing/2014/main" id="{F9F70502-D3FD-4EB3-82BB-FC0C62C51EA2}"/>
            </a:ext>
          </a:extLst>
        </xdr:cNvPr>
        <xdr:cNvSpPr/>
      </xdr:nvSpPr>
      <xdr:spPr>
        <a:xfrm>
          <a:off x="3810000" y="87084"/>
          <a:ext cx="3396344" cy="1915887"/>
        </a:xfrm>
        <a:prstGeom prst="roundRect">
          <a:avLst/>
        </a:prstGeom>
        <a:solidFill>
          <a:schemeClr val="bg1"/>
        </a:solidFill>
        <a:effectLst>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315686</xdr:colOff>
      <xdr:row>0</xdr:row>
      <xdr:rowOff>108859</xdr:rowOff>
    </xdr:from>
    <xdr:to>
      <xdr:col>5</xdr:col>
      <xdr:colOff>174171</xdr:colOff>
      <xdr:row>11</xdr:row>
      <xdr:rowOff>32658</xdr:rowOff>
    </xdr:to>
    <xdr:sp macro="" textlink="">
      <xdr:nvSpPr>
        <xdr:cNvPr id="11" name="Rectangle: Rounded Corners 10">
          <a:extLst>
            <a:ext uri="{FF2B5EF4-FFF2-40B4-BE49-F238E27FC236}">
              <a16:creationId xmlns:a16="http://schemas.microsoft.com/office/drawing/2014/main" id="{1A143176-97ED-C3F1-61A0-176B0AC11DB5}"/>
            </a:ext>
          </a:extLst>
        </xdr:cNvPr>
        <xdr:cNvSpPr/>
      </xdr:nvSpPr>
      <xdr:spPr>
        <a:xfrm>
          <a:off x="315686" y="108859"/>
          <a:ext cx="2906485" cy="1959428"/>
        </a:xfrm>
        <a:prstGeom prst="roundRect">
          <a:avLst/>
        </a:prstGeom>
        <a:solidFill>
          <a:schemeClr val="bg1"/>
        </a:solidFill>
        <a:effectLst>
          <a:glow rad="228600">
            <a:schemeClr val="accent3">
              <a:satMod val="175000"/>
              <a:alpha val="40000"/>
            </a:schemeClr>
          </a:glow>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442686</xdr:colOff>
      <xdr:row>1</xdr:row>
      <xdr:rowOff>113817</xdr:rowOff>
    </xdr:from>
    <xdr:to>
      <xdr:col>11</xdr:col>
      <xdr:colOff>206828</xdr:colOff>
      <xdr:row>9</xdr:row>
      <xdr:rowOff>54430</xdr:rowOff>
    </xdr:to>
    <xdr:graphicFrame macro="">
      <xdr:nvGraphicFramePr>
        <xdr:cNvPr id="2" name="Chart 1">
          <a:extLst>
            <a:ext uri="{FF2B5EF4-FFF2-40B4-BE49-F238E27FC236}">
              <a16:creationId xmlns:a16="http://schemas.microsoft.com/office/drawing/2014/main" id="{422B8A17-FF84-4F42-82A1-48EE043D1B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254604</xdr:colOff>
      <xdr:row>13</xdr:row>
      <xdr:rowOff>87088</xdr:rowOff>
    </xdr:from>
    <xdr:to>
      <xdr:col>18</xdr:col>
      <xdr:colOff>315686</xdr:colOff>
      <xdr:row>23</xdr:row>
      <xdr:rowOff>108857</xdr:rowOff>
    </xdr:to>
    <xdr:graphicFrame macro="">
      <xdr:nvGraphicFramePr>
        <xdr:cNvPr id="3" name="Chart 2">
          <a:extLst>
            <a:ext uri="{FF2B5EF4-FFF2-40B4-BE49-F238E27FC236}">
              <a16:creationId xmlns:a16="http://schemas.microsoft.com/office/drawing/2014/main" id="{ECECFB8E-D362-4F67-B5FF-E477EC1748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424180</xdr:colOff>
      <xdr:row>1</xdr:row>
      <xdr:rowOff>151553</xdr:rowOff>
    </xdr:from>
    <xdr:to>
      <xdr:col>5</xdr:col>
      <xdr:colOff>54429</xdr:colOff>
      <xdr:row>10</xdr:row>
      <xdr:rowOff>1</xdr:rowOff>
    </xdr:to>
    <xdr:graphicFrame macro="">
      <xdr:nvGraphicFramePr>
        <xdr:cNvPr id="4" name="Chart 3">
          <a:extLst>
            <a:ext uri="{FF2B5EF4-FFF2-40B4-BE49-F238E27FC236}">
              <a16:creationId xmlns:a16="http://schemas.microsoft.com/office/drawing/2014/main" id="{A472481E-7726-4501-9A3D-AB84BB6C04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393700</xdr:colOff>
      <xdr:row>1</xdr:row>
      <xdr:rowOff>41851</xdr:rowOff>
    </xdr:from>
    <xdr:to>
      <xdr:col>18</xdr:col>
      <xdr:colOff>185057</xdr:colOff>
      <xdr:row>10</xdr:row>
      <xdr:rowOff>163287</xdr:rowOff>
    </xdr:to>
    <xdr:graphicFrame macro="">
      <xdr:nvGraphicFramePr>
        <xdr:cNvPr id="5" name="Chart 4">
          <a:extLst>
            <a:ext uri="{FF2B5EF4-FFF2-40B4-BE49-F238E27FC236}">
              <a16:creationId xmlns:a16="http://schemas.microsoft.com/office/drawing/2014/main" id="{034008B7-F7CD-440E-BAEA-E141256A90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291737</xdr:colOff>
      <xdr:row>14</xdr:row>
      <xdr:rowOff>31570</xdr:rowOff>
    </xdr:from>
    <xdr:to>
      <xdr:col>4</xdr:col>
      <xdr:colOff>522514</xdr:colOff>
      <xdr:row>22</xdr:row>
      <xdr:rowOff>141515</xdr:rowOff>
    </xdr:to>
    <xdr:graphicFrame macro="">
      <xdr:nvGraphicFramePr>
        <xdr:cNvPr id="6" name="Chart 5">
          <a:extLst>
            <a:ext uri="{FF2B5EF4-FFF2-40B4-BE49-F238E27FC236}">
              <a16:creationId xmlns:a16="http://schemas.microsoft.com/office/drawing/2014/main" id="{872D9953-FB28-48DA-B6D3-60CE181836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378099</xdr:colOff>
      <xdr:row>13</xdr:row>
      <xdr:rowOff>111156</xdr:rowOff>
    </xdr:from>
    <xdr:to>
      <xdr:col>11</xdr:col>
      <xdr:colOff>370115</xdr:colOff>
      <xdr:row>23</xdr:row>
      <xdr:rowOff>163287</xdr:rowOff>
    </xdr:to>
    <xdr:graphicFrame macro="">
      <xdr:nvGraphicFramePr>
        <xdr:cNvPr id="7" name="Chart 6">
          <a:extLst>
            <a:ext uri="{FF2B5EF4-FFF2-40B4-BE49-F238E27FC236}">
              <a16:creationId xmlns:a16="http://schemas.microsoft.com/office/drawing/2014/main" id="{D579951C-0A77-4529-8AB4-43CB545898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0</xdr:colOff>
      <xdr:row>57</xdr:row>
      <xdr:rowOff>0</xdr:rowOff>
    </xdr:from>
    <xdr:to>
      <xdr:col>9</xdr:col>
      <xdr:colOff>304800</xdr:colOff>
      <xdr:row>72</xdr:row>
      <xdr:rowOff>0</xdr:rowOff>
    </xdr:to>
    <xdr:graphicFrame macro="">
      <xdr:nvGraphicFramePr>
        <xdr:cNvPr id="8" name="Chart 7">
          <a:extLst>
            <a:ext uri="{FF2B5EF4-FFF2-40B4-BE49-F238E27FC236}">
              <a16:creationId xmlns:a16="http://schemas.microsoft.com/office/drawing/2014/main" id="{5F0BDD6A-BC5B-41F4-A850-4A4199647E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0</xdr:colOff>
      <xdr:row>61</xdr:row>
      <xdr:rowOff>0</xdr:rowOff>
    </xdr:from>
    <xdr:to>
      <xdr:col>21</xdr:col>
      <xdr:colOff>304800</xdr:colOff>
      <xdr:row>76</xdr:row>
      <xdr:rowOff>0</xdr:rowOff>
    </xdr:to>
    <xdr:graphicFrame macro="">
      <xdr:nvGraphicFramePr>
        <xdr:cNvPr id="10" name="Chart 9">
          <a:extLst>
            <a:ext uri="{FF2B5EF4-FFF2-40B4-BE49-F238E27FC236}">
              <a16:creationId xmlns:a16="http://schemas.microsoft.com/office/drawing/2014/main" id="{A30FEA8A-9760-40AD-8F22-896A8F838A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21</xdr:col>
      <xdr:colOff>65315</xdr:colOff>
      <xdr:row>0</xdr:row>
      <xdr:rowOff>141514</xdr:rowOff>
    </xdr:from>
    <xdr:to>
      <xdr:col>22</xdr:col>
      <xdr:colOff>555173</xdr:colOff>
      <xdr:row>7</xdr:row>
      <xdr:rowOff>32657</xdr:rowOff>
    </xdr:to>
    <mc:AlternateContent xmlns:mc="http://schemas.openxmlformats.org/markup-compatibility/2006">
      <mc:Choice xmlns:a14="http://schemas.microsoft.com/office/drawing/2010/main" Requires="a14">
        <xdr:graphicFrame macro="">
          <xdr:nvGraphicFramePr>
            <xdr:cNvPr id="20" name="Gender 1">
              <a:extLst>
                <a:ext uri="{FF2B5EF4-FFF2-40B4-BE49-F238E27FC236}">
                  <a16:creationId xmlns:a16="http://schemas.microsoft.com/office/drawing/2014/main" id="{8CAA1562-2F0A-4236-8AD9-F7C4036AE8EF}"/>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12866915" y="141514"/>
              <a:ext cx="1099458" cy="11865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21772</xdr:colOff>
      <xdr:row>0</xdr:row>
      <xdr:rowOff>130630</xdr:rowOff>
    </xdr:from>
    <xdr:to>
      <xdr:col>20</xdr:col>
      <xdr:colOff>555172</xdr:colOff>
      <xdr:row>7</xdr:row>
      <xdr:rowOff>54430</xdr:rowOff>
    </xdr:to>
    <mc:AlternateContent xmlns:mc="http://schemas.openxmlformats.org/markup-compatibility/2006">
      <mc:Choice xmlns:a14="http://schemas.microsoft.com/office/drawing/2010/main" Requires="a14">
        <xdr:graphicFrame macro="">
          <xdr:nvGraphicFramePr>
            <xdr:cNvPr id="21" name="Diabetes 1">
              <a:extLst>
                <a:ext uri="{FF2B5EF4-FFF2-40B4-BE49-F238E27FC236}">
                  <a16:creationId xmlns:a16="http://schemas.microsoft.com/office/drawing/2014/main" id="{5635A919-445F-4C6A-9C64-1104AC04B849}"/>
                </a:ext>
              </a:extLst>
            </xdr:cNvPr>
            <xdr:cNvGraphicFramePr/>
          </xdr:nvGraphicFramePr>
          <xdr:xfrm>
            <a:off x="0" y="0"/>
            <a:ext cx="0" cy="0"/>
          </xdr:xfrm>
          <a:graphic>
            <a:graphicData uri="http://schemas.microsoft.com/office/drawing/2010/slicer">
              <sle:slicer xmlns:sle="http://schemas.microsoft.com/office/drawing/2010/slicer" name="Diabetes 1"/>
            </a:graphicData>
          </a:graphic>
        </xdr:graphicFrame>
      </mc:Choice>
      <mc:Fallback>
        <xdr:sp macro="" textlink="">
          <xdr:nvSpPr>
            <xdr:cNvPr id="0" name=""/>
            <xdr:cNvSpPr>
              <a:spLocks noTextEdit="1"/>
            </xdr:cNvSpPr>
          </xdr:nvSpPr>
          <xdr:spPr>
            <a:xfrm>
              <a:off x="11604172" y="130630"/>
              <a:ext cx="1143000" cy="1219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359229</xdr:colOff>
      <xdr:row>15</xdr:row>
      <xdr:rowOff>76201</xdr:rowOff>
    </xdr:from>
    <xdr:to>
      <xdr:col>22</xdr:col>
      <xdr:colOff>359229</xdr:colOff>
      <xdr:row>23</xdr:row>
      <xdr:rowOff>9254</xdr:rowOff>
    </xdr:to>
    <mc:AlternateContent xmlns:mc="http://schemas.openxmlformats.org/markup-compatibility/2006">
      <mc:Choice xmlns:a14="http://schemas.microsoft.com/office/drawing/2010/main" Requires="a14">
        <xdr:graphicFrame macro="">
          <xdr:nvGraphicFramePr>
            <xdr:cNvPr id="23" name="Age Group 1">
              <a:extLst>
                <a:ext uri="{FF2B5EF4-FFF2-40B4-BE49-F238E27FC236}">
                  <a16:creationId xmlns:a16="http://schemas.microsoft.com/office/drawing/2014/main" id="{C8AC0AD2-C450-4A69-A673-339E34651549}"/>
                </a:ext>
              </a:extLst>
            </xdr:cNvPr>
            <xdr:cNvGraphicFramePr/>
          </xdr:nvGraphicFramePr>
          <xdr:xfrm>
            <a:off x="0" y="0"/>
            <a:ext cx="0" cy="0"/>
          </xdr:xfrm>
          <a:graphic>
            <a:graphicData uri="http://schemas.microsoft.com/office/drawing/2010/slicer">
              <sle:slicer xmlns:sle="http://schemas.microsoft.com/office/drawing/2010/slicer" name="Age Group 1"/>
            </a:graphicData>
          </a:graphic>
        </xdr:graphicFrame>
      </mc:Choice>
      <mc:Fallback>
        <xdr:sp macro="" textlink="">
          <xdr:nvSpPr>
            <xdr:cNvPr id="0" name=""/>
            <xdr:cNvSpPr>
              <a:spLocks noTextEdit="1"/>
            </xdr:cNvSpPr>
          </xdr:nvSpPr>
          <xdr:spPr>
            <a:xfrm>
              <a:off x="11941629" y="2852058"/>
              <a:ext cx="1828800" cy="14135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370114</xdr:colOff>
      <xdr:row>7</xdr:row>
      <xdr:rowOff>141514</xdr:rowOff>
    </xdr:from>
    <xdr:to>
      <xdr:col>22</xdr:col>
      <xdr:colOff>370114</xdr:colOff>
      <xdr:row>14</xdr:row>
      <xdr:rowOff>135799</xdr:rowOff>
    </xdr:to>
    <mc:AlternateContent xmlns:mc="http://schemas.openxmlformats.org/markup-compatibility/2006">
      <mc:Choice xmlns:a14="http://schemas.microsoft.com/office/drawing/2010/main" Requires="a14">
        <xdr:graphicFrame macro="">
          <xdr:nvGraphicFramePr>
            <xdr:cNvPr id="24" name="Smoking_Status 1">
              <a:extLst>
                <a:ext uri="{FF2B5EF4-FFF2-40B4-BE49-F238E27FC236}">
                  <a16:creationId xmlns:a16="http://schemas.microsoft.com/office/drawing/2014/main" id="{00C0442D-AEB6-4EBF-BA24-E750FFB0D81A}"/>
                </a:ext>
              </a:extLst>
            </xdr:cNvPr>
            <xdr:cNvGraphicFramePr/>
          </xdr:nvGraphicFramePr>
          <xdr:xfrm>
            <a:off x="0" y="0"/>
            <a:ext cx="0" cy="0"/>
          </xdr:xfrm>
          <a:graphic>
            <a:graphicData uri="http://schemas.microsoft.com/office/drawing/2010/slicer">
              <sle:slicer xmlns:sle="http://schemas.microsoft.com/office/drawing/2010/slicer" name="Smoking_Status 1"/>
            </a:graphicData>
          </a:graphic>
        </xdr:graphicFrame>
      </mc:Choice>
      <mc:Fallback>
        <xdr:sp macro="" textlink="">
          <xdr:nvSpPr>
            <xdr:cNvPr id="0" name=""/>
            <xdr:cNvSpPr>
              <a:spLocks noTextEdit="1"/>
            </xdr:cNvSpPr>
          </xdr:nvSpPr>
          <xdr:spPr>
            <a:xfrm>
              <a:off x="11952514" y="1436914"/>
              <a:ext cx="1828800" cy="12896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08.527074652775" createdVersion="8" refreshedVersion="8" minRefreshableVersion="3" recordCount="100" xr:uid="{173DEBF2-72F8-4BD8-B914-86B34171F9A9}">
  <cacheSource type="worksheet">
    <worksheetSource ref="A1:P101" sheet="healthcare_dataset"/>
  </cacheSource>
  <cacheFields count="16">
    <cacheField name="Patient_ID" numFmtId="0">
      <sharedItems/>
    </cacheField>
    <cacheField name="Age" numFmtId="0">
      <sharedItems containsString="0" containsBlank="1" containsNumber="1" containsInteger="1" minValue="18" maxValue="82"/>
    </cacheField>
    <cacheField name="Age Group" numFmtId="0">
      <sharedItems count="4">
        <s v="Senior"/>
        <s v="Adult"/>
        <s v="blank"/>
        <s v="Young"/>
      </sharedItems>
    </cacheField>
    <cacheField name="Gender" numFmtId="0">
      <sharedItems containsBlank="1" count="3">
        <s v="Male"/>
        <s v="Female"/>
        <m/>
      </sharedItems>
    </cacheField>
    <cacheField name=" Value" numFmtId="0">
      <sharedItems containsString="0" containsBlank="1" containsNumber="1" minValue="0" maxValue="30"/>
    </cacheField>
    <cacheField name="Category" numFmtId="0">
      <sharedItems containsBlank="1"/>
    </cacheField>
    <cacheField name="BMI Value" numFmtId="0">
      <sharedItems count="4">
        <s v="Obese"/>
        <s v="Normal"/>
        <s v="underweight"/>
        <s v="Overweight"/>
      </sharedItems>
    </cacheField>
    <cacheField name="BMI" numFmtId="0">
      <sharedItems containsString="0" containsBlank="1" containsNumber="1" minValue="19.2" maxValue="40"/>
    </cacheField>
    <cacheField name="Blood_Pressure" numFmtId="0">
      <sharedItems containsBlank="1" count="4">
        <s v="Hypertension"/>
        <s v="Normal"/>
        <s v="Prehypertension"/>
        <m/>
      </sharedItems>
    </cacheField>
    <cacheField name="BP_Value" numFmtId="0">
      <sharedItems containsMixedTypes="1" containsNumber="1" containsInteger="1" minValue="1" maxValue="3"/>
    </cacheField>
    <cacheField name="Cholesterol_Level" numFmtId="0">
      <sharedItems containsBlank="1" count="4">
        <s v="Normal"/>
        <s v="Low"/>
        <s v="High"/>
        <m/>
      </sharedItems>
    </cacheField>
    <cacheField name="Diabetes" numFmtId="0">
      <sharedItems containsBlank="1" count="3">
        <s v="No"/>
        <m/>
        <s v="Yes"/>
      </sharedItems>
    </cacheField>
    <cacheField name="Hospital_Visits_Per_Year" numFmtId="0">
      <sharedItems containsString="0" containsBlank="1" containsNumber="1" containsInteger="1" minValue="0" maxValue="11" count="13">
        <n v="0"/>
        <n v="7"/>
        <n v="1"/>
        <n v="11"/>
        <n v="6"/>
        <n v="9"/>
        <n v="5"/>
        <n v="2"/>
        <n v="10"/>
        <m/>
        <n v="8"/>
        <n v="4"/>
        <n v="3"/>
      </sharedItems>
    </cacheField>
    <cacheField name="Medication_Adherence" numFmtId="0">
      <sharedItems containsBlank="1" count="4">
        <s v="Poor"/>
        <s v="Good"/>
        <s v="Moderate"/>
        <m/>
      </sharedItems>
    </cacheField>
    <cacheField name="Smoking_Status" numFmtId="0">
      <sharedItems containsBlank="1" count="3">
        <s v="Non-Smoker"/>
        <s v="Smoker"/>
        <m/>
      </sharedItems>
    </cacheField>
    <cacheField name="Exercise_Frequency" numFmtId="0">
      <sharedItems containsString="0" containsBlank="1" containsNumber="1" containsInteger="1" minValue="0" maxValue="6" count="8">
        <n v="0"/>
        <n v="5"/>
        <m/>
        <n v="6"/>
        <n v="4"/>
        <n v="1"/>
        <n v="3"/>
        <n v="2"/>
      </sharedItems>
    </cacheField>
  </cacheFields>
  <extLst>
    <ext xmlns:x14="http://schemas.microsoft.com/office/spreadsheetml/2009/9/main" uri="{725AE2AE-9491-48be-B2B4-4EB974FC3084}">
      <x14:pivotCacheDefinition pivotCacheId="10257458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P001"/>
    <n v="69"/>
    <x v="0"/>
    <x v="0"/>
    <n v="0"/>
    <s v="underweight"/>
    <x v="0"/>
    <n v="33.799999999999997"/>
    <x v="0"/>
    <n v="3"/>
    <x v="0"/>
    <x v="0"/>
    <x v="0"/>
    <x v="0"/>
    <x v="0"/>
    <x v="0"/>
  </r>
  <r>
    <s v="P002"/>
    <n v="32"/>
    <x v="1"/>
    <x v="1"/>
    <n v="18.5"/>
    <s v="Normal"/>
    <x v="1"/>
    <n v="21.7"/>
    <x v="0"/>
    <n v="3"/>
    <x v="0"/>
    <x v="0"/>
    <x v="0"/>
    <x v="1"/>
    <x v="1"/>
    <x v="1"/>
  </r>
  <r>
    <s v="P003"/>
    <n v="78"/>
    <x v="0"/>
    <x v="0"/>
    <n v="25"/>
    <s v="Overweight"/>
    <x v="0"/>
    <n v="40"/>
    <x v="0"/>
    <n v="3"/>
    <x v="1"/>
    <x v="0"/>
    <x v="1"/>
    <x v="1"/>
    <x v="1"/>
    <x v="2"/>
  </r>
  <r>
    <s v="P004"/>
    <n v="38"/>
    <x v="1"/>
    <x v="0"/>
    <n v="30"/>
    <s v="Obese"/>
    <x v="1"/>
    <n v="24.2"/>
    <x v="1"/>
    <n v="1"/>
    <x v="2"/>
    <x v="0"/>
    <x v="2"/>
    <x v="1"/>
    <x v="1"/>
    <x v="3"/>
  </r>
  <r>
    <s v="P005"/>
    <m/>
    <x v="2"/>
    <x v="1"/>
    <m/>
    <m/>
    <x v="2"/>
    <m/>
    <x v="2"/>
    <n v="2"/>
    <x v="2"/>
    <x v="0"/>
    <x v="3"/>
    <x v="1"/>
    <x v="1"/>
    <x v="0"/>
  </r>
  <r>
    <s v="P006"/>
    <n v="20"/>
    <x v="3"/>
    <x v="0"/>
    <m/>
    <m/>
    <x v="3"/>
    <n v="27.3"/>
    <x v="2"/>
    <n v="2"/>
    <x v="1"/>
    <x v="0"/>
    <x v="1"/>
    <x v="1"/>
    <x v="0"/>
    <x v="1"/>
  </r>
  <r>
    <s v="P007"/>
    <n v="39"/>
    <x v="1"/>
    <x v="0"/>
    <m/>
    <m/>
    <x v="1"/>
    <n v="19.2"/>
    <x v="0"/>
    <n v="3"/>
    <x v="1"/>
    <x v="0"/>
    <x v="4"/>
    <x v="2"/>
    <x v="0"/>
    <x v="4"/>
  </r>
  <r>
    <s v="P008"/>
    <n v="70"/>
    <x v="0"/>
    <x v="0"/>
    <m/>
    <m/>
    <x v="3"/>
    <n v="25.9"/>
    <x v="1"/>
    <n v="1"/>
    <x v="2"/>
    <x v="0"/>
    <x v="5"/>
    <x v="2"/>
    <x v="0"/>
    <x v="4"/>
  </r>
  <r>
    <s v="P009"/>
    <n v="19"/>
    <x v="3"/>
    <x v="2"/>
    <m/>
    <m/>
    <x v="0"/>
    <n v="32.1"/>
    <x v="1"/>
    <n v="1"/>
    <x v="0"/>
    <x v="0"/>
    <x v="5"/>
    <x v="1"/>
    <x v="1"/>
    <x v="5"/>
  </r>
  <r>
    <s v="P010"/>
    <n v="47"/>
    <x v="1"/>
    <x v="0"/>
    <m/>
    <m/>
    <x v="0"/>
    <n v="33.1"/>
    <x v="1"/>
    <n v="1"/>
    <x v="0"/>
    <x v="0"/>
    <x v="2"/>
    <x v="1"/>
    <x v="0"/>
    <x v="1"/>
  </r>
  <r>
    <s v="P011"/>
    <n v="55"/>
    <x v="0"/>
    <x v="1"/>
    <m/>
    <m/>
    <x v="3"/>
    <n v="29.9"/>
    <x v="1"/>
    <n v="1"/>
    <x v="0"/>
    <x v="1"/>
    <x v="6"/>
    <x v="1"/>
    <x v="2"/>
    <x v="6"/>
  </r>
  <r>
    <s v="P012"/>
    <n v="19"/>
    <x v="3"/>
    <x v="1"/>
    <m/>
    <m/>
    <x v="3"/>
    <n v="28.1"/>
    <x v="2"/>
    <n v="2"/>
    <x v="0"/>
    <x v="0"/>
    <x v="6"/>
    <x v="0"/>
    <x v="2"/>
    <x v="1"/>
  </r>
  <r>
    <s v="P013"/>
    <n v="81"/>
    <x v="0"/>
    <x v="1"/>
    <m/>
    <m/>
    <x v="0"/>
    <n v="30.4"/>
    <x v="1"/>
    <n v="1"/>
    <x v="3"/>
    <x v="1"/>
    <x v="7"/>
    <x v="1"/>
    <x v="0"/>
    <x v="3"/>
  </r>
  <r>
    <s v="P014"/>
    <n v="77"/>
    <x v="0"/>
    <x v="0"/>
    <m/>
    <m/>
    <x v="0"/>
    <n v="31.2"/>
    <x v="1"/>
    <n v="1"/>
    <x v="2"/>
    <x v="0"/>
    <x v="8"/>
    <x v="2"/>
    <x v="0"/>
    <x v="0"/>
  </r>
  <r>
    <s v="P015"/>
    <n v="38"/>
    <x v="1"/>
    <x v="0"/>
    <m/>
    <m/>
    <x v="1"/>
    <n v="20.2"/>
    <x v="0"/>
    <n v="3"/>
    <x v="3"/>
    <x v="0"/>
    <x v="2"/>
    <x v="0"/>
    <x v="1"/>
    <x v="0"/>
  </r>
  <r>
    <s v="P016"/>
    <n v="50"/>
    <x v="0"/>
    <x v="0"/>
    <m/>
    <m/>
    <x v="3"/>
    <n v="26.4"/>
    <x v="0"/>
    <n v="3"/>
    <x v="0"/>
    <x v="0"/>
    <x v="3"/>
    <x v="2"/>
    <x v="0"/>
    <x v="3"/>
  </r>
  <r>
    <s v="P017"/>
    <n v="75"/>
    <x v="0"/>
    <x v="1"/>
    <m/>
    <m/>
    <x v="1"/>
    <n v="23.7"/>
    <x v="1"/>
    <n v="1"/>
    <x v="2"/>
    <x v="0"/>
    <x v="0"/>
    <x v="0"/>
    <x v="0"/>
    <x v="2"/>
  </r>
  <r>
    <s v="P018"/>
    <m/>
    <x v="2"/>
    <x v="0"/>
    <m/>
    <m/>
    <x v="0"/>
    <n v="35.799999999999997"/>
    <x v="1"/>
    <n v="1"/>
    <x v="0"/>
    <x v="0"/>
    <x v="6"/>
    <x v="1"/>
    <x v="0"/>
    <x v="3"/>
  </r>
  <r>
    <s v="P019"/>
    <n v="66"/>
    <x v="0"/>
    <x v="0"/>
    <m/>
    <m/>
    <x v="3"/>
    <n v="28.6"/>
    <x v="2"/>
    <n v="2"/>
    <x v="0"/>
    <x v="1"/>
    <x v="3"/>
    <x v="2"/>
    <x v="1"/>
    <x v="7"/>
  </r>
  <r>
    <s v="P020"/>
    <n v="76"/>
    <x v="0"/>
    <x v="1"/>
    <m/>
    <m/>
    <x v="0"/>
    <n v="39.6"/>
    <x v="1"/>
    <n v="1"/>
    <x v="1"/>
    <x v="0"/>
    <x v="9"/>
    <x v="2"/>
    <x v="0"/>
    <x v="3"/>
  </r>
  <r>
    <s v="P021"/>
    <n v="59"/>
    <x v="0"/>
    <x v="0"/>
    <m/>
    <m/>
    <x v="3"/>
    <n v="27.1"/>
    <x v="1"/>
    <n v="1"/>
    <x v="2"/>
    <x v="0"/>
    <x v="8"/>
    <x v="2"/>
    <x v="2"/>
    <x v="2"/>
  </r>
  <r>
    <s v="P022"/>
    <n v="77"/>
    <x v="0"/>
    <x v="1"/>
    <m/>
    <m/>
    <x v="0"/>
    <n v="36.1"/>
    <x v="1"/>
    <n v="1"/>
    <x v="3"/>
    <x v="0"/>
    <x v="10"/>
    <x v="1"/>
    <x v="0"/>
    <x v="3"/>
  </r>
  <r>
    <s v="P023"/>
    <n v="32"/>
    <x v="1"/>
    <x v="2"/>
    <m/>
    <m/>
    <x v="0"/>
    <n v="35.700000000000003"/>
    <x v="1"/>
    <n v="1"/>
    <x v="3"/>
    <x v="0"/>
    <x v="0"/>
    <x v="3"/>
    <x v="0"/>
    <x v="0"/>
  </r>
  <r>
    <s v="P024"/>
    <n v="79"/>
    <x v="0"/>
    <x v="1"/>
    <m/>
    <m/>
    <x v="1"/>
    <n v="21.7"/>
    <x v="0"/>
    <n v="3"/>
    <x v="3"/>
    <x v="0"/>
    <x v="4"/>
    <x v="1"/>
    <x v="0"/>
    <x v="4"/>
  </r>
  <r>
    <s v="P025"/>
    <n v="79"/>
    <x v="0"/>
    <x v="2"/>
    <m/>
    <m/>
    <x v="3"/>
    <n v="29.4"/>
    <x v="1"/>
    <n v="1"/>
    <x v="0"/>
    <x v="2"/>
    <x v="11"/>
    <x v="2"/>
    <x v="1"/>
    <x v="0"/>
  </r>
  <r>
    <s v="P026"/>
    <n v="64"/>
    <x v="0"/>
    <x v="0"/>
    <m/>
    <m/>
    <x v="0"/>
    <n v="33.5"/>
    <x v="0"/>
    <n v="3"/>
    <x v="1"/>
    <x v="0"/>
    <x v="11"/>
    <x v="3"/>
    <x v="2"/>
    <x v="5"/>
  </r>
  <r>
    <s v="P027"/>
    <n v="79"/>
    <x v="0"/>
    <x v="0"/>
    <m/>
    <m/>
    <x v="2"/>
    <m/>
    <x v="2"/>
    <n v="2"/>
    <x v="1"/>
    <x v="0"/>
    <x v="2"/>
    <x v="2"/>
    <x v="0"/>
    <x v="6"/>
  </r>
  <r>
    <s v="P028"/>
    <m/>
    <x v="2"/>
    <x v="0"/>
    <m/>
    <m/>
    <x v="3"/>
    <n v="25.5"/>
    <x v="1"/>
    <n v="1"/>
    <x v="1"/>
    <x v="0"/>
    <x v="9"/>
    <x v="3"/>
    <x v="0"/>
    <x v="0"/>
  </r>
  <r>
    <s v="P029"/>
    <n v="72"/>
    <x v="0"/>
    <x v="0"/>
    <m/>
    <m/>
    <x v="1"/>
    <n v="23.2"/>
    <x v="2"/>
    <n v="2"/>
    <x v="3"/>
    <x v="0"/>
    <x v="7"/>
    <x v="0"/>
    <x v="0"/>
    <x v="4"/>
  </r>
  <r>
    <s v="P030"/>
    <n v="81"/>
    <x v="0"/>
    <x v="0"/>
    <m/>
    <m/>
    <x v="0"/>
    <n v="33.799999999999997"/>
    <x v="1"/>
    <n v="1"/>
    <x v="1"/>
    <x v="0"/>
    <x v="4"/>
    <x v="1"/>
    <x v="0"/>
    <x v="5"/>
  </r>
  <r>
    <s v="P031"/>
    <n v="20"/>
    <x v="3"/>
    <x v="0"/>
    <m/>
    <m/>
    <x v="0"/>
    <n v="35.9"/>
    <x v="2"/>
    <n v="2"/>
    <x v="0"/>
    <x v="0"/>
    <x v="6"/>
    <x v="1"/>
    <x v="0"/>
    <x v="0"/>
  </r>
  <r>
    <s v="P032"/>
    <n v="68"/>
    <x v="0"/>
    <x v="1"/>
    <m/>
    <m/>
    <x v="3"/>
    <n v="26"/>
    <x v="1"/>
    <n v="1"/>
    <x v="0"/>
    <x v="2"/>
    <x v="3"/>
    <x v="3"/>
    <x v="0"/>
    <x v="7"/>
  </r>
  <r>
    <s v="P033"/>
    <n v="24"/>
    <x v="3"/>
    <x v="0"/>
    <m/>
    <m/>
    <x v="1"/>
    <n v="20.6"/>
    <x v="1"/>
    <n v="1"/>
    <x v="0"/>
    <x v="0"/>
    <x v="9"/>
    <x v="2"/>
    <x v="0"/>
    <x v="3"/>
  </r>
  <r>
    <s v="P034"/>
    <n v="38"/>
    <x v="1"/>
    <x v="1"/>
    <m/>
    <m/>
    <x v="0"/>
    <n v="38.700000000000003"/>
    <x v="2"/>
    <n v="2"/>
    <x v="0"/>
    <x v="0"/>
    <x v="6"/>
    <x v="1"/>
    <x v="0"/>
    <x v="6"/>
  </r>
  <r>
    <s v="P035"/>
    <n v="56"/>
    <x v="0"/>
    <x v="0"/>
    <m/>
    <m/>
    <x v="3"/>
    <n v="27"/>
    <x v="1"/>
    <n v="1"/>
    <x v="3"/>
    <x v="1"/>
    <x v="9"/>
    <x v="3"/>
    <x v="0"/>
    <x v="0"/>
  </r>
  <r>
    <s v="P036"/>
    <n v="35"/>
    <x v="1"/>
    <x v="2"/>
    <m/>
    <m/>
    <x v="3"/>
    <n v="29.6"/>
    <x v="1"/>
    <n v="1"/>
    <x v="0"/>
    <x v="0"/>
    <x v="2"/>
    <x v="0"/>
    <x v="0"/>
    <x v="5"/>
  </r>
  <r>
    <s v="P037"/>
    <n v="21"/>
    <x v="3"/>
    <x v="0"/>
    <m/>
    <m/>
    <x v="0"/>
    <n v="36.5"/>
    <x v="3"/>
    <s v="Blank"/>
    <x v="1"/>
    <x v="2"/>
    <x v="2"/>
    <x v="1"/>
    <x v="0"/>
    <x v="7"/>
  </r>
  <r>
    <s v="P038"/>
    <n v="77"/>
    <x v="0"/>
    <x v="1"/>
    <m/>
    <m/>
    <x v="0"/>
    <n v="33"/>
    <x v="1"/>
    <n v="1"/>
    <x v="0"/>
    <x v="2"/>
    <x v="8"/>
    <x v="2"/>
    <x v="0"/>
    <x v="1"/>
  </r>
  <r>
    <s v="P039"/>
    <n v="31"/>
    <x v="1"/>
    <x v="1"/>
    <m/>
    <m/>
    <x v="2"/>
    <m/>
    <x v="3"/>
    <s v="Blank"/>
    <x v="0"/>
    <x v="0"/>
    <x v="7"/>
    <x v="1"/>
    <x v="0"/>
    <x v="5"/>
  </r>
  <r>
    <s v="P040"/>
    <n v="26"/>
    <x v="3"/>
    <x v="2"/>
    <m/>
    <m/>
    <x v="1"/>
    <n v="23"/>
    <x v="1"/>
    <n v="1"/>
    <x v="0"/>
    <x v="0"/>
    <x v="2"/>
    <x v="1"/>
    <x v="0"/>
    <x v="3"/>
  </r>
  <r>
    <s v="P041"/>
    <n v="70"/>
    <x v="0"/>
    <x v="1"/>
    <m/>
    <m/>
    <x v="0"/>
    <n v="30.1"/>
    <x v="2"/>
    <n v="2"/>
    <x v="2"/>
    <x v="0"/>
    <x v="12"/>
    <x v="3"/>
    <x v="2"/>
    <x v="5"/>
  </r>
  <r>
    <s v="P042"/>
    <n v="19"/>
    <x v="3"/>
    <x v="0"/>
    <m/>
    <m/>
    <x v="0"/>
    <n v="33.5"/>
    <x v="2"/>
    <n v="2"/>
    <x v="1"/>
    <x v="0"/>
    <x v="10"/>
    <x v="1"/>
    <x v="1"/>
    <x v="7"/>
  </r>
  <r>
    <s v="P043"/>
    <n v="77"/>
    <x v="0"/>
    <x v="1"/>
    <m/>
    <m/>
    <x v="1"/>
    <n v="23.4"/>
    <x v="2"/>
    <n v="2"/>
    <x v="0"/>
    <x v="0"/>
    <x v="9"/>
    <x v="2"/>
    <x v="1"/>
    <x v="5"/>
  </r>
  <r>
    <s v="P044"/>
    <n v="61"/>
    <x v="0"/>
    <x v="0"/>
    <m/>
    <m/>
    <x v="1"/>
    <n v="22.3"/>
    <x v="1"/>
    <n v="1"/>
    <x v="2"/>
    <x v="0"/>
    <x v="0"/>
    <x v="3"/>
    <x v="0"/>
    <x v="7"/>
  </r>
  <r>
    <s v="P045"/>
    <n v="25"/>
    <x v="3"/>
    <x v="0"/>
    <m/>
    <m/>
    <x v="0"/>
    <n v="39.6"/>
    <x v="1"/>
    <n v="1"/>
    <x v="0"/>
    <x v="0"/>
    <x v="1"/>
    <x v="2"/>
    <x v="2"/>
    <x v="0"/>
  </r>
  <r>
    <s v="P046"/>
    <n v="64"/>
    <x v="0"/>
    <x v="1"/>
    <m/>
    <m/>
    <x v="3"/>
    <n v="29.6"/>
    <x v="0"/>
    <n v="3"/>
    <x v="0"/>
    <x v="0"/>
    <x v="3"/>
    <x v="2"/>
    <x v="0"/>
    <x v="7"/>
  </r>
  <r>
    <s v="P047"/>
    <n v="52"/>
    <x v="0"/>
    <x v="1"/>
    <m/>
    <m/>
    <x v="1"/>
    <n v="24.1"/>
    <x v="0"/>
    <n v="3"/>
    <x v="0"/>
    <x v="2"/>
    <x v="9"/>
    <x v="2"/>
    <x v="0"/>
    <x v="7"/>
  </r>
  <r>
    <s v="P048"/>
    <n v="53"/>
    <x v="0"/>
    <x v="1"/>
    <m/>
    <m/>
    <x v="0"/>
    <n v="39.9"/>
    <x v="0"/>
    <n v="3"/>
    <x v="0"/>
    <x v="1"/>
    <x v="5"/>
    <x v="2"/>
    <x v="0"/>
    <x v="6"/>
  </r>
  <r>
    <s v="P049"/>
    <n v="67"/>
    <x v="0"/>
    <x v="1"/>
    <m/>
    <m/>
    <x v="0"/>
    <n v="39.299999999999997"/>
    <x v="1"/>
    <n v="1"/>
    <x v="3"/>
    <x v="2"/>
    <x v="7"/>
    <x v="2"/>
    <x v="1"/>
    <x v="7"/>
  </r>
  <r>
    <s v="P050"/>
    <n v="21"/>
    <x v="3"/>
    <x v="2"/>
    <m/>
    <m/>
    <x v="0"/>
    <n v="30.5"/>
    <x v="3"/>
    <s v="Blank"/>
    <x v="1"/>
    <x v="0"/>
    <x v="9"/>
    <x v="1"/>
    <x v="0"/>
    <x v="7"/>
  </r>
  <r>
    <s v="P051"/>
    <n v="19"/>
    <x v="3"/>
    <x v="1"/>
    <m/>
    <m/>
    <x v="0"/>
    <n v="37.5"/>
    <x v="1"/>
    <n v="1"/>
    <x v="3"/>
    <x v="2"/>
    <x v="11"/>
    <x v="1"/>
    <x v="0"/>
    <x v="1"/>
  </r>
  <r>
    <s v="P052"/>
    <m/>
    <x v="2"/>
    <x v="1"/>
    <m/>
    <m/>
    <x v="1"/>
    <n v="22.6"/>
    <x v="2"/>
    <n v="2"/>
    <x v="0"/>
    <x v="0"/>
    <x v="12"/>
    <x v="0"/>
    <x v="0"/>
    <x v="0"/>
  </r>
  <r>
    <s v="P053"/>
    <n v="71"/>
    <x v="0"/>
    <x v="1"/>
    <m/>
    <m/>
    <x v="1"/>
    <n v="24.5"/>
    <x v="1"/>
    <n v="1"/>
    <x v="2"/>
    <x v="0"/>
    <x v="5"/>
    <x v="2"/>
    <x v="0"/>
    <x v="3"/>
  </r>
  <r>
    <s v="P054"/>
    <n v="21"/>
    <x v="3"/>
    <x v="0"/>
    <m/>
    <m/>
    <x v="0"/>
    <n v="33.6"/>
    <x v="0"/>
    <n v="3"/>
    <x v="0"/>
    <x v="0"/>
    <x v="1"/>
    <x v="1"/>
    <x v="0"/>
    <x v="6"/>
  </r>
  <r>
    <s v="P055"/>
    <n v="71"/>
    <x v="0"/>
    <x v="1"/>
    <m/>
    <m/>
    <x v="0"/>
    <n v="36.700000000000003"/>
    <x v="1"/>
    <n v="1"/>
    <x v="3"/>
    <x v="1"/>
    <x v="0"/>
    <x v="1"/>
    <x v="0"/>
    <x v="1"/>
  </r>
  <r>
    <s v="P056"/>
    <n v="80"/>
    <x v="0"/>
    <x v="1"/>
    <m/>
    <m/>
    <x v="0"/>
    <n v="36.9"/>
    <x v="0"/>
    <n v="3"/>
    <x v="0"/>
    <x v="0"/>
    <x v="5"/>
    <x v="1"/>
    <x v="0"/>
    <x v="4"/>
  </r>
  <r>
    <s v="P057"/>
    <n v="35"/>
    <x v="1"/>
    <x v="0"/>
    <m/>
    <m/>
    <x v="3"/>
    <n v="27.2"/>
    <x v="2"/>
    <n v="2"/>
    <x v="0"/>
    <x v="0"/>
    <x v="0"/>
    <x v="0"/>
    <x v="0"/>
    <x v="0"/>
  </r>
  <r>
    <s v="P058"/>
    <n v="61"/>
    <x v="0"/>
    <x v="1"/>
    <m/>
    <m/>
    <x v="0"/>
    <n v="37.6"/>
    <x v="0"/>
    <n v="3"/>
    <x v="1"/>
    <x v="0"/>
    <x v="3"/>
    <x v="1"/>
    <x v="1"/>
    <x v="0"/>
  </r>
  <r>
    <s v="P059"/>
    <n v="51"/>
    <x v="0"/>
    <x v="0"/>
    <m/>
    <m/>
    <x v="2"/>
    <m/>
    <x v="1"/>
    <n v="1"/>
    <x v="0"/>
    <x v="2"/>
    <x v="12"/>
    <x v="3"/>
    <x v="1"/>
    <x v="4"/>
  </r>
  <r>
    <s v="P060"/>
    <n v="79"/>
    <x v="0"/>
    <x v="0"/>
    <m/>
    <m/>
    <x v="0"/>
    <n v="38.6"/>
    <x v="2"/>
    <n v="2"/>
    <x v="0"/>
    <x v="0"/>
    <x v="1"/>
    <x v="1"/>
    <x v="0"/>
    <x v="3"/>
  </r>
  <r>
    <s v="P061"/>
    <n v="31"/>
    <x v="1"/>
    <x v="1"/>
    <m/>
    <m/>
    <x v="0"/>
    <n v="35.4"/>
    <x v="2"/>
    <n v="2"/>
    <x v="0"/>
    <x v="1"/>
    <x v="11"/>
    <x v="1"/>
    <x v="0"/>
    <x v="7"/>
  </r>
  <r>
    <s v="P062"/>
    <n v="65"/>
    <x v="0"/>
    <x v="0"/>
    <m/>
    <m/>
    <x v="0"/>
    <n v="32.9"/>
    <x v="1"/>
    <n v="1"/>
    <x v="0"/>
    <x v="0"/>
    <x v="2"/>
    <x v="0"/>
    <x v="0"/>
    <x v="1"/>
  </r>
  <r>
    <s v="P063"/>
    <n v="32"/>
    <x v="1"/>
    <x v="0"/>
    <m/>
    <m/>
    <x v="0"/>
    <n v="31"/>
    <x v="1"/>
    <n v="1"/>
    <x v="1"/>
    <x v="0"/>
    <x v="6"/>
    <x v="3"/>
    <x v="1"/>
    <x v="5"/>
  </r>
  <r>
    <s v="P064"/>
    <n v="79"/>
    <x v="0"/>
    <x v="2"/>
    <m/>
    <m/>
    <x v="3"/>
    <n v="26.5"/>
    <x v="3"/>
    <s v="Blank"/>
    <x v="1"/>
    <x v="2"/>
    <x v="9"/>
    <x v="0"/>
    <x v="0"/>
    <x v="6"/>
  </r>
  <r>
    <s v="P065"/>
    <n v="57"/>
    <x v="0"/>
    <x v="0"/>
    <m/>
    <m/>
    <x v="0"/>
    <n v="38.700000000000003"/>
    <x v="0"/>
    <n v="3"/>
    <x v="1"/>
    <x v="2"/>
    <x v="2"/>
    <x v="1"/>
    <x v="0"/>
    <x v="5"/>
  </r>
  <r>
    <s v="P066"/>
    <n v="70"/>
    <x v="0"/>
    <x v="1"/>
    <m/>
    <m/>
    <x v="0"/>
    <n v="39.4"/>
    <x v="1"/>
    <n v="1"/>
    <x v="2"/>
    <x v="0"/>
    <x v="8"/>
    <x v="3"/>
    <x v="0"/>
    <x v="4"/>
  </r>
  <r>
    <s v="P067"/>
    <n v="41"/>
    <x v="1"/>
    <x v="0"/>
    <m/>
    <m/>
    <x v="1"/>
    <n v="24.6"/>
    <x v="1"/>
    <n v="1"/>
    <x v="2"/>
    <x v="0"/>
    <x v="8"/>
    <x v="1"/>
    <x v="0"/>
    <x v="0"/>
  </r>
  <r>
    <s v="P068"/>
    <n v="43"/>
    <x v="1"/>
    <x v="1"/>
    <m/>
    <m/>
    <x v="3"/>
    <n v="25.1"/>
    <x v="2"/>
    <n v="2"/>
    <x v="0"/>
    <x v="1"/>
    <x v="8"/>
    <x v="3"/>
    <x v="0"/>
    <x v="3"/>
  </r>
  <r>
    <s v="P069"/>
    <m/>
    <x v="2"/>
    <x v="0"/>
    <m/>
    <m/>
    <x v="3"/>
    <n v="28.9"/>
    <x v="0"/>
    <n v="3"/>
    <x v="2"/>
    <x v="0"/>
    <x v="7"/>
    <x v="2"/>
    <x v="2"/>
    <x v="0"/>
  </r>
  <r>
    <s v="P070"/>
    <n v="58"/>
    <x v="0"/>
    <x v="0"/>
    <m/>
    <m/>
    <x v="2"/>
    <m/>
    <x v="1"/>
    <n v="1"/>
    <x v="0"/>
    <x v="2"/>
    <x v="10"/>
    <x v="0"/>
    <x v="0"/>
    <x v="6"/>
  </r>
  <r>
    <s v="P071"/>
    <n v="46"/>
    <x v="1"/>
    <x v="0"/>
    <m/>
    <m/>
    <x v="2"/>
    <m/>
    <x v="1"/>
    <n v="1"/>
    <x v="0"/>
    <x v="0"/>
    <x v="4"/>
    <x v="0"/>
    <x v="0"/>
    <x v="0"/>
  </r>
  <r>
    <s v="P072"/>
    <n v="32"/>
    <x v="1"/>
    <x v="0"/>
    <m/>
    <m/>
    <x v="1"/>
    <n v="22.3"/>
    <x v="1"/>
    <n v="1"/>
    <x v="0"/>
    <x v="0"/>
    <x v="4"/>
    <x v="2"/>
    <x v="2"/>
    <x v="2"/>
  </r>
  <r>
    <s v="P073"/>
    <n v="62"/>
    <x v="0"/>
    <x v="1"/>
    <m/>
    <m/>
    <x v="2"/>
    <m/>
    <x v="2"/>
    <n v="2"/>
    <x v="1"/>
    <x v="2"/>
    <x v="8"/>
    <x v="0"/>
    <x v="1"/>
    <x v="6"/>
  </r>
  <r>
    <s v="P074"/>
    <n v="82"/>
    <x v="0"/>
    <x v="1"/>
    <m/>
    <m/>
    <x v="3"/>
    <n v="29.1"/>
    <x v="2"/>
    <n v="2"/>
    <x v="1"/>
    <x v="0"/>
    <x v="6"/>
    <x v="1"/>
    <x v="0"/>
    <x v="1"/>
  </r>
  <r>
    <s v="P075"/>
    <m/>
    <x v="2"/>
    <x v="0"/>
    <m/>
    <m/>
    <x v="1"/>
    <n v="22.3"/>
    <x v="1"/>
    <n v="1"/>
    <x v="0"/>
    <x v="0"/>
    <x v="1"/>
    <x v="3"/>
    <x v="0"/>
    <x v="1"/>
  </r>
  <r>
    <s v="P076"/>
    <n v="18"/>
    <x v="3"/>
    <x v="2"/>
    <m/>
    <m/>
    <x v="3"/>
    <n v="26.4"/>
    <x v="0"/>
    <n v="3"/>
    <x v="0"/>
    <x v="0"/>
    <x v="12"/>
    <x v="1"/>
    <x v="0"/>
    <x v="6"/>
  </r>
  <r>
    <s v="P077"/>
    <n v="25"/>
    <x v="3"/>
    <x v="1"/>
    <m/>
    <m/>
    <x v="0"/>
    <n v="34.5"/>
    <x v="2"/>
    <n v="2"/>
    <x v="1"/>
    <x v="0"/>
    <x v="1"/>
    <x v="2"/>
    <x v="0"/>
    <x v="3"/>
  </r>
  <r>
    <s v="P078"/>
    <n v="80"/>
    <x v="0"/>
    <x v="0"/>
    <m/>
    <m/>
    <x v="0"/>
    <n v="34"/>
    <x v="1"/>
    <n v="1"/>
    <x v="2"/>
    <x v="0"/>
    <x v="12"/>
    <x v="0"/>
    <x v="0"/>
    <x v="4"/>
  </r>
  <r>
    <s v="P079"/>
    <n v="28"/>
    <x v="3"/>
    <x v="0"/>
    <m/>
    <m/>
    <x v="3"/>
    <n v="25.1"/>
    <x v="1"/>
    <n v="1"/>
    <x v="0"/>
    <x v="0"/>
    <x v="1"/>
    <x v="2"/>
    <x v="0"/>
    <x v="0"/>
  </r>
  <r>
    <s v="P080"/>
    <n v="25"/>
    <x v="3"/>
    <x v="0"/>
    <m/>
    <m/>
    <x v="0"/>
    <n v="30.2"/>
    <x v="1"/>
    <n v="1"/>
    <x v="1"/>
    <x v="0"/>
    <x v="10"/>
    <x v="2"/>
    <x v="0"/>
    <x v="3"/>
  </r>
  <r>
    <s v="P081"/>
    <n v="52"/>
    <x v="0"/>
    <x v="1"/>
    <m/>
    <m/>
    <x v="2"/>
    <m/>
    <x v="0"/>
    <n v="3"/>
    <x v="2"/>
    <x v="0"/>
    <x v="9"/>
    <x v="1"/>
    <x v="1"/>
    <x v="0"/>
  </r>
  <r>
    <s v="P082"/>
    <n v="52"/>
    <x v="0"/>
    <x v="1"/>
    <m/>
    <m/>
    <x v="0"/>
    <n v="32.200000000000003"/>
    <x v="2"/>
    <n v="2"/>
    <x v="2"/>
    <x v="0"/>
    <x v="7"/>
    <x v="0"/>
    <x v="0"/>
    <x v="4"/>
  </r>
  <r>
    <s v="P083"/>
    <n v="50"/>
    <x v="0"/>
    <x v="1"/>
    <m/>
    <m/>
    <x v="1"/>
    <n v="23.9"/>
    <x v="2"/>
    <n v="2"/>
    <x v="2"/>
    <x v="2"/>
    <x v="9"/>
    <x v="1"/>
    <x v="0"/>
    <x v="1"/>
  </r>
  <r>
    <s v="P084"/>
    <n v="22"/>
    <x v="3"/>
    <x v="0"/>
    <m/>
    <m/>
    <x v="0"/>
    <n v="31.2"/>
    <x v="2"/>
    <n v="2"/>
    <x v="1"/>
    <x v="2"/>
    <x v="2"/>
    <x v="0"/>
    <x v="0"/>
    <x v="3"/>
  </r>
  <r>
    <s v="P085"/>
    <m/>
    <x v="2"/>
    <x v="0"/>
    <m/>
    <m/>
    <x v="0"/>
    <n v="39.5"/>
    <x v="2"/>
    <n v="2"/>
    <x v="3"/>
    <x v="2"/>
    <x v="5"/>
    <x v="2"/>
    <x v="0"/>
    <x v="7"/>
  </r>
  <r>
    <s v="P086"/>
    <m/>
    <x v="2"/>
    <x v="1"/>
    <m/>
    <m/>
    <x v="3"/>
    <n v="29"/>
    <x v="0"/>
    <n v="3"/>
    <x v="0"/>
    <x v="2"/>
    <x v="7"/>
    <x v="1"/>
    <x v="1"/>
    <x v="7"/>
  </r>
  <r>
    <s v="P087"/>
    <n v="24"/>
    <x v="3"/>
    <x v="1"/>
    <m/>
    <m/>
    <x v="2"/>
    <m/>
    <x v="1"/>
    <n v="1"/>
    <x v="0"/>
    <x v="2"/>
    <x v="7"/>
    <x v="2"/>
    <x v="1"/>
    <x v="7"/>
  </r>
  <r>
    <s v="P088"/>
    <n v="29"/>
    <x v="3"/>
    <x v="2"/>
    <m/>
    <m/>
    <x v="3"/>
    <n v="27.8"/>
    <x v="2"/>
    <n v="2"/>
    <x v="2"/>
    <x v="0"/>
    <x v="11"/>
    <x v="2"/>
    <x v="0"/>
    <x v="2"/>
  </r>
  <r>
    <s v="P089"/>
    <n v="51"/>
    <x v="0"/>
    <x v="1"/>
    <m/>
    <m/>
    <x v="3"/>
    <n v="26"/>
    <x v="1"/>
    <n v="1"/>
    <x v="0"/>
    <x v="0"/>
    <x v="11"/>
    <x v="2"/>
    <x v="0"/>
    <x v="1"/>
  </r>
  <r>
    <s v="P090"/>
    <n v="50"/>
    <x v="0"/>
    <x v="0"/>
    <m/>
    <m/>
    <x v="0"/>
    <n v="32.4"/>
    <x v="1"/>
    <n v="1"/>
    <x v="2"/>
    <x v="1"/>
    <x v="2"/>
    <x v="2"/>
    <x v="0"/>
    <x v="4"/>
  </r>
  <r>
    <s v="P091"/>
    <n v="65"/>
    <x v="0"/>
    <x v="1"/>
    <m/>
    <m/>
    <x v="0"/>
    <n v="32.9"/>
    <x v="1"/>
    <n v="1"/>
    <x v="2"/>
    <x v="0"/>
    <x v="3"/>
    <x v="1"/>
    <x v="1"/>
    <x v="0"/>
  </r>
  <r>
    <s v="P092"/>
    <n v="40"/>
    <x v="1"/>
    <x v="0"/>
    <m/>
    <m/>
    <x v="2"/>
    <m/>
    <x v="1"/>
    <n v="1"/>
    <x v="2"/>
    <x v="0"/>
    <x v="5"/>
    <x v="2"/>
    <x v="0"/>
    <x v="4"/>
  </r>
  <r>
    <s v="P093"/>
    <n v="79"/>
    <x v="0"/>
    <x v="1"/>
    <m/>
    <m/>
    <x v="1"/>
    <n v="23.4"/>
    <x v="1"/>
    <n v="1"/>
    <x v="0"/>
    <x v="0"/>
    <x v="6"/>
    <x v="0"/>
    <x v="0"/>
    <x v="4"/>
  </r>
  <r>
    <s v="P094"/>
    <n v="54"/>
    <x v="0"/>
    <x v="0"/>
    <m/>
    <m/>
    <x v="2"/>
    <m/>
    <x v="1"/>
    <n v="1"/>
    <x v="1"/>
    <x v="0"/>
    <x v="11"/>
    <x v="3"/>
    <x v="2"/>
    <x v="1"/>
  </r>
  <r>
    <s v="P095"/>
    <n v="61"/>
    <x v="0"/>
    <x v="1"/>
    <m/>
    <m/>
    <x v="0"/>
    <n v="30.8"/>
    <x v="3"/>
    <s v="Blank"/>
    <x v="0"/>
    <x v="1"/>
    <x v="6"/>
    <x v="3"/>
    <x v="0"/>
    <x v="7"/>
  </r>
  <r>
    <s v="P096"/>
    <n v="52"/>
    <x v="0"/>
    <x v="1"/>
    <m/>
    <m/>
    <x v="0"/>
    <n v="35"/>
    <x v="1"/>
    <n v="1"/>
    <x v="2"/>
    <x v="0"/>
    <x v="0"/>
    <x v="1"/>
    <x v="0"/>
    <x v="5"/>
  </r>
  <r>
    <s v="P097"/>
    <n v="82"/>
    <x v="0"/>
    <x v="1"/>
    <m/>
    <m/>
    <x v="1"/>
    <n v="19.399999999999999"/>
    <x v="1"/>
    <n v="1"/>
    <x v="1"/>
    <x v="0"/>
    <x v="11"/>
    <x v="3"/>
    <x v="0"/>
    <x v="0"/>
  </r>
  <r>
    <s v="P098"/>
    <m/>
    <x v="2"/>
    <x v="1"/>
    <m/>
    <m/>
    <x v="0"/>
    <n v="39.9"/>
    <x v="0"/>
    <n v="3"/>
    <x v="0"/>
    <x v="0"/>
    <x v="10"/>
    <x v="2"/>
    <x v="1"/>
    <x v="2"/>
  </r>
  <r>
    <s v="P099"/>
    <n v="20"/>
    <x v="3"/>
    <x v="0"/>
    <m/>
    <m/>
    <x v="3"/>
    <n v="28.6"/>
    <x v="0"/>
    <n v="3"/>
    <x v="1"/>
    <x v="0"/>
    <x v="3"/>
    <x v="2"/>
    <x v="1"/>
    <x v="7"/>
  </r>
  <r>
    <s v="P100"/>
    <n v="18"/>
    <x v="3"/>
    <x v="1"/>
    <m/>
    <m/>
    <x v="1"/>
    <n v="24.5"/>
    <x v="1"/>
    <n v="1"/>
    <x v="0"/>
    <x v="0"/>
    <x v="5"/>
    <x v="1"/>
    <x v="1"/>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BD0CAFC-E402-45B1-BE3F-4AF27FEA70E4}"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E23:F27" firstHeaderRow="1" firstDataRow="1" firstDataCol="1"/>
  <pivotFields count="16">
    <pivotField dataField="1" showAll="0"/>
    <pivotField showAll="0"/>
    <pivotField showAll="0">
      <items count="5">
        <item x="1"/>
        <item x="2"/>
        <item x="0"/>
        <item x="3"/>
        <item t="default"/>
      </items>
    </pivotField>
    <pivotField showAll="0">
      <items count="4">
        <item x="1"/>
        <item x="0"/>
        <item x="2"/>
        <item t="default"/>
      </items>
    </pivotField>
    <pivotField showAll="0"/>
    <pivotField showAll="0"/>
    <pivotField showAll="0"/>
    <pivotField showAll="0"/>
    <pivotField showAll="0"/>
    <pivotField showAll="0"/>
    <pivotField showAll="0"/>
    <pivotField showAll="0">
      <items count="4">
        <item x="0"/>
        <item x="2"/>
        <item x="1"/>
        <item t="default"/>
      </items>
    </pivotField>
    <pivotField showAll="0"/>
    <pivotField showAll="0"/>
    <pivotField axis="axisRow" showAll="0">
      <items count="4">
        <item x="0"/>
        <item x="1"/>
        <item x="2"/>
        <item t="default"/>
      </items>
    </pivotField>
    <pivotField showAll="0"/>
  </pivotFields>
  <rowFields count="1">
    <field x="14"/>
  </rowFields>
  <rowItems count="4">
    <i>
      <x/>
    </i>
    <i>
      <x v="1"/>
    </i>
    <i>
      <x v="2"/>
    </i>
    <i t="grand">
      <x/>
    </i>
  </rowItems>
  <colItems count="1">
    <i/>
  </colItems>
  <dataFields count="1">
    <dataField name="Count of Patient_ID" fld="0" subtotal="count" baseField="0" baseItem="0"/>
  </dataFields>
  <formats count="6">
    <format dxfId="5991">
      <pivotArea type="all" dataOnly="0" outline="0" fieldPosition="0"/>
    </format>
    <format dxfId="5990">
      <pivotArea outline="0" collapsedLevelsAreSubtotals="1" fieldPosition="0"/>
    </format>
    <format dxfId="5989">
      <pivotArea field="14" type="button" dataOnly="0" labelOnly="1" outline="0" axis="axisRow" fieldPosition="0"/>
    </format>
    <format dxfId="5988">
      <pivotArea dataOnly="0" labelOnly="1" fieldPosition="0">
        <references count="1">
          <reference field="14" count="0"/>
        </references>
      </pivotArea>
    </format>
    <format dxfId="5987">
      <pivotArea dataOnly="0" labelOnly="1" grandRow="1" outline="0" fieldPosition="0"/>
    </format>
    <format dxfId="5986">
      <pivotArea dataOnly="0" labelOnly="1" outline="0" axis="axisValues" fieldPosition="0"/>
    </format>
  </formats>
  <chartFormats count="9">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14" count="1" selected="0">
            <x v="0"/>
          </reference>
        </references>
      </pivotArea>
    </chartFormat>
    <chartFormat chart="2" format="3">
      <pivotArea type="data" outline="0" fieldPosition="0">
        <references count="2">
          <reference field="4294967294" count="1" selected="0">
            <x v="0"/>
          </reference>
          <reference field="14" count="1" selected="0">
            <x v="1"/>
          </reference>
        </references>
      </pivotArea>
    </chartFormat>
    <chartFormat chart="2" format="4">
      <pivotArea type="data" outline="0" fieldPosition="0">
        <references count="2">
          <reference field="4294967294" count="1" selected="0">
            <x v="0"/>
          </reference>
          <reference field="14" count="1" selected="0">
            <x v="2"/>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4" count="1" selected="0">
            <x v="0"/>
          </reference>
        </references>
      </pivotArea>
    </chartFormat>
    <chartFormat chart="4" format="7">
      <pivotArea type="data" outline="0" fieldPosition="0">
        <references count="2">
          <reference field="4294967294" count="1" selected="0">
            <x v="0"/>
          </reference>
          <reference field="14" count="1" selected="0">
            <x v="1"/>
          </reference>
        </references>
      </pivotArea>
    </chartFormat>
    <chartFormat chart="4" format="8">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38CE86A-9DF4-4571-B780-F0980A07CB5D}"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59:C64" firstHeaderRow="0" firstDataRow="1" firstDataCol="1"/>
  <pivotFields count="16">
    <pivotField dataField="1" showAll="0"/>
    <pivotField showAll="0"/>
    <pivotField axis="axisRow" showAll="0" sortType="descending">
      <items count="5">
        <item x="1"/>
        <item x="0"/>
        <item x="3"/>
        <item x="2"/>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showAll="0"/>
    <pivotField showAll="0"/>
    <pivotField showAll="0"/>
    <pivotField showAll="0"/>
    <pivotField showAll="0"/>
    <pivotField showAll="0"/>
    <pivotField showAll="0"/>
    <pivotField showAll="0">
      <items count="4">
        <item x="0"/>
        <item x="2"/>
        <item x="1"/>
        <item t="default"/>
      </items>
    </pivotField>
    <pivotField dataField="1" showAll="0"/>
    <pivotField showAll="0"/>
    <pivotField showAll="0">
      <items count="4">
        <item x="0"/>
        <item x="1"/>
        <item x="2"/>
        <item t="default"/>
      </items>
    </pivotField>
    <pivotField showAll="0"/>
  </pivotFields>
  <rowFields count="1">
    <field x="2"/>
  </rowFields>
  <rowItems count="5">
    <i>
      <x v="1"/>
    </i>
    <i>
      <x v="2"/>
    </i>
    <i>
      <x/>
    </i>
    <i>
      <x v="3"/>
    </i>
    <i t="grand">
      <x/>
    </i>
  </rowItems>
  <colFields count="1">
    <field x="-2"/>
  </colFields>
  <colItems count="2">
    <i>
      <x/>
    </i>
    <i i="1">
      <x v="1"/>
    </i>
  </colItems>
  <dataFields count="2">
    <dataField name="Count of Patient_ID" fld="0" subtotal="count" baseField="0" baseItem="0"/>
    <dataField name="Average of Hospital_Visits_Per_Year" fld="12" subtotal="average" baseField="2" baseItem="1" numFmtId="164"/>
  </dataFields>
  <formats count="13">
    <format dxfId="6004">
      <pivotArea type="all" dataOnly="0" outline="0" fieldPosition="0"/>
    </format>
    <format dxfId="6003">
      <pivotArea outline="0" collapsedLevelsAreSubtotals="1" fieldPosition="0"/>
    </format>
    <format dxfId="6002">
      <pivotArea field="2" type="button" dataOnly="0" labelOnly="1" outline="0" axis="axisRow" fieldPosition="0"/>
    </format>
    <format dxfId="6001">
      <pivotArea dataOnly="0" labelOnly="1" fieldPosition="0">
        <references count="1">
          <reference field="2" count="0"/>
        </references>
      </pivotArea>
    </format>
    <format dxfId="6000">
      <pivotArea dataOnly="0" labelOnly="1" grandRow="1" outline="0" fieldPosition="0"/>
    </format>
    <format dxfId="5999">
      <pivotArea dataOnly="0" labelOnly="1" outline="0" axis="axisValues" fieldPosition="0"/>
    </format>
    <format dxfId="5998">
      <pivotArea outline="0" collapsedLevelsAreSubtotals="1" fieldPosition="0"/>
    </format>
    <format dxfId="5997">
      <pivotArea type="all" dataOnly="0" outline="0" fieldPosition="0"/>
    </format>
    <format dxfId="5996">
      <pivotArea outline="0" collapsedLevelsAreSubtotals="1" fieldPosition="0"/>
    </format>
    <format dxfId="5995">
      <pivotArea field="2" type="button" dataOnly="0" labelOnly="1" outline="0" axis="axisRow" fieldPosition="0"/>
    </format>
    <format dxfId="5994">
      <pivotArea dataOnly="0" labelOnly="1" fieldPosition="0">
        <references count="1">
          <reference field="2" count="0"/>
        </references>
      </pivotArea>
    </format>
    <format dxfId="5993">
      <pivotArea dataOnly="0" labelOnly="1" grandRow="1" outline="0" fieldPosition="0"/>
    </format>
    <format dxfId="5992">
      <pivotArea dataOnly="0" labelOnly="1" outline="0" axis="axisValues" fieldPosition="0"/>
    </format>
  </formats>
  <chartFormats count="6">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 chart="21" format="0"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1"/>
          </reference>
        </references>
      </pivotArea>
    </chartFormat>
    <chartFormat chart="23" format="4"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556B1F4-05EB-4A98-BE06-7464B62DE61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J12:K16" firstHeaderRow="1" firstDataRow="1" firstDataCol="1"/>
  <pivotFields count="16">
    <pivotField dataField="1" showAll="0"/>
    <pivotField showAll="0"/>
    <pivotField showAll="0">
      <items count="5">
        <item x="1"/>
        <item x="2"/>
        <item x="0"/>
        <item x="3"/>
        <item t="default"/>
      </items>
    </pivotField>
    <pivotField showAll="0">
      <items count="4">
        <item x="1"/>
        <item x="0"/>
        <item x="2"/>
        <item t="default"/>
      </items>
    </pivotField>
    <pivotField showAll="0"/>
    <pivotField showAll="0"/>
    <pivotField showAll="0"/>
    <pivotField showAll="0"/>
    <pivotField showAll="0"/>
    <pivotField showAll="0"/>
    <pivotField showAll="0"/>
    <pivotField axis="axisRow" showAll="0">
      <items count="4">
        <item x="0"/>
        <item x="2"/>
        <item x="1"/>
        <item t="default"/>
      </items>
    </pivotField>
    <pivotField showAll="0"/>
    <pivotField showAll="0"/>
    <pivotField showAll="0">
      <items count="4">
        <item x="0"/>
        <item x="1"/>
        <item x="2"/>
        <item t="default"/>
      </items>
    </pivotField>
    <pivotField showAll="0"/>
  </pivotFields>
  <rowFields count="1">
    <field x="11"/>
  </rowFields>
  <rowItems count="4">
    <i>
      <x/>
    </i>
    <i>
      <x v="1"/>
    </i>
    <i>
      <x v="2"/>
    </i>
    <i t="grand">
      <x/>
    </i>
  </rowItems>
  <colItems count="1">
    <i/>
  </colItems>
  <dataFields count="1">
    <dataField name="Count of Patient_ID" fld="0" subtotal="count" baseField="10" baseItem="1"/>
  </dataFields>
  <formats count="5">
    <format dxfId="6009">
      <pivotArea type="all" dataOnly="0" outline="0" fieldPosition="0"/>
    </format>
    <format dxfId="6008">
      <pivotArea outline="0" collapsedLevelsAreSubtotals="1" fieldPosition="0"/>
    </format>
    <format dxfId="6007">
      <pivotArea field="11" type="button" dataOnly="0" labelOnly="1" outline="0" axis="axisRow" fieldPosition="0"/>
    </format>
    <format dxfId="6006">
      <pivotArea dataOnly="0" labelOnly="1" grandRow="1" outline="0" fieldPosition="0"/>
    </format>
    <format dxfId="6005">
      <pivotArea dataOnly="0" labelOnly="1" outline="0" axis="axisValues" fieldPosition="0"/>
    </format>
  </formats>
  <chartFormats count="5">
    <chartFormat chart="3"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11" count="1" selected="0">
            <x v="0"/>
          </reference>
        </references>
      </pivotArea>
    </chartFormat>
    <chartFormat chart="5" format="7">
      <pivotArea type="data" outline="0" fieldPosition="0">
        <references count="2">
          <reference field="4294967294" count="1" selected="0">
            <x v="0"/>
          </reference>
          <reference field="11" count="1" selected="0">
            <x v="1"/>
          </reference>
        </references>
      </pivotArea>
    </chartFormat>
    <chartFormat chart="5" format="8">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EB3DCE3-66B9-4903-A93A-54CA5DBF9B0F}"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3:B28" firstHeaderRow="1" firstDataRow="1" firstDataCol="1"/>
  <pivotFields count="16">
    <pivotField dataField="1" showAll="0"/>
    <pivotField showAll="0"/>
    <pivotField showAll="0">
      <items count="5">
        <item x="1"/>
        <item x="2"/>
        <item x="0"/>
        <item x="3"/>
        <item t="default"/>
      </items>
    </pivotField>
    <pivotField showAll="0">
      <items count="4">
        <item x="1"/>
        <item x="0"/>
        <item x="2"/>
        <item t="default"/>
      </items>
    </pivotField>
    <pivotField showAll="0"/>
    <pivotField showAll="0"/>
    <pivotField showAll="0"/>
    <pivotField showAll="0"/>
    <pivotField showAll="0"/>
    <pivotField showAll="0"/>
    <pivotField showAll="0"/>
    <pivotField showAll="0">
      <items count="4">
        <item x="0"/>
        <item x="2"/>
        <item x="1"/>
        <item t="default"/>
      </items>
    </pivotField>
    <pivotField showAll="0"/>
    <pivotField axis="axisRow" showAll="0">
      <items count="5">
        <item x="1"/>
        <item x="2"/>
        <item x="0"/>
        <item x="3"/>
        <item t="default"/>
      </items>
    </pivotField>
    <pivotField showAll="0">
      <items count="4">
        <item x="0"/>
        <item x="1"/>
        <item x="2"/>
        <item t="default"/>
      </items>
    </pivotField>
    <pivotField showAll="0"/>
  </pivotFields>
  <rowFields count="1">
    <field x="13"/>
  </rowFields>
  <rowItems count="5">
    <i>
      <x/>
    </i>
    <i>
      <x v="1"/>
    </i>
    <i>
      <x v="2"/>
    </i>
    <i>
      <x v="3"/>
    </i>
    <i t="grand">
      <x/>
    </i>
  </rowItems>
  <colItems count="1">
    <i/>
  </colItems>
  <dataFields count="1">
    <dataField name="Count of Patient_ID" fld="0" subtotal="count" baseField="0" baseItem="0"/>
  </dataFields>
  <formats count="12">
    <format dxfId="6021">
      <pivotArea type="all" dataOnly="0" outline="0" fieldPosition="0"/>
    </format>
    <format dxfId="6020">
      <pivotArea outline="0" collapsedLevelsAreSubtotals="1" fieldPosition="0"/>
    </format>
    <format dxfId="6019">
      <pivotArea field="13" type="button" dataOnly="0" labelOnly="1" outline="0" axis="axisRow" fieldPosition="0"/>
    </format>
    <format dxfId="6018">
      <pivotArea dataOnly="0" labelOnly="1" fieldPosition="0">
        <references count="1">
          <reference field="13" count="0"/>
        </references>
      </pivotArea>
    </format>
    <format dxfId="6017">
      <pivotArea dataOnly="0" labelOnly="1" grandRow="1" outline="0" fieldPosition="0"/>
    </format>
    <format dxfId="6016">
      <pivotArea dataOnly="0" labelOnly="1" outline="0" axis="axisValues" fieldPosition="0"/>
    </format>
    <format dxfId="6015">
      <pivotArea type="all" dataOnly="0" outline="0" fieldPosition="0"/>
    </format>
    <format dxfId="6014">
      <pivotArea outline="0" collapsedLevelsAreSubtotals="1" fieldPosition="0"/>
    </format>
    <format dxfId="6013">
      <pivotArea field="13" type="button" dataOnly="0" labelOnly="1" outline="0" axis="axisRow" fieldPosition="0"/>
    </format>
    <format dxfId="6012">
      <pivotArea dataOnly="0" labelOnly="1" fieldPosition="0">
        <references count="1">
          <reference field="13" count="0"/>
        </references>
      </pivotArea>
    </format>
    <format dxfId="6011">
      <pivotArea dataOnly="0" labelOnly="1" grandRow="1" outline="0" fieldPosition="0"/>
    </format>
    <format dxfId="601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5416DD5-EE87-4141-BD16-F15545F4155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5:B54" firstHeaderRow="1" firstDataRow="1" firstDataCol="1"/>
  <pivotFields count="16">
    <pivotField showAll="0"/>
    <pivotField showAll="0"/>
    <pivotField showAll="0">
      <items count="5">
        <item x="1"/>
        <item x="2"/>
        <item x="0"/>
        <item x="3"/>
        <item t="default"/>
      </items>
    </pivotField>
    <pivotField showAll="0">
      <items count="4">
        <item x="1"/>
        <item x="0"/>
        <item x="2"/>
        <item t="default"/>
      </items>
    </pivotField>
    <pivotField showAll="0"/>
    <pivotField showAll="0"/>
    <pivotField showAll="0"/>
    <pivotField showAll="0"/>
    <pivotField showAll="0"/>
    <pivotField showAll="0"/>
    <pivotField showAll="0"/>
    <pivotField showAll="0">
      <items count="4">
        <item x="0"/>
        <item x="2"/>
        <item x="1"/>
        <item t="default"/>
      </items>
    </pivotField>
    <pivotField dataField="1" showAll="0"/>
    <pivotField showAll="0"/>
    <pivotField showAll="0">
      <items count="4">
        <item x="0"/>
        <item x="1"/>
        <item x="2"/>
        <item t="default"/>
      </items>
    </pivotField>
    <pivotField axis="axisRow" showAll="0">
      <items count="9">
        <item x="0"/>
        <item x="5"/>
        <item x="7"/>
        <item x="6"/>
        <item x="4"/>
        <item x="1"/>
        <item x="3"/>
        <item x="2"/>
        <item t="default"/>
      </items>
    </pivotField>
  </pivotFields>
  <rowFields count="1">
    <field x="15"/>
  </rowFields>
  <rowItems count="9">
    <i>
      <x/>
    </i>
    <i>
      <x v="1"/>
    </i>
    <i>
      <x v="2"/>
    </i>
    <i>
      <x v="3"/>
    </i>
    <i>
      <x v="4"/>
    </i>
    <i>
      <x v="5"/>
    </i>
    <i>
      <x v="6"/>
    </i>
    <i>
      <x v="7"/>
    </i>
    <i t="grand">
      <x/>
    </i>
  </rowItems>
  <colItems count="1">
    <i/>
  </colItems>
  <dataFields count="1">
    <dataField name="Average of Hospital_Visits_Per_Year2" fld="12" subtotal="average" baseField="13" baseItem="0" numFmtId="2"/>
  </dataFields>
  <formats count="7">
    <format dxfId="6028">
      <pivotArea outline="0" collapsedLevelsAreSubtotals="1" fieldPosition="0">
        <references count="1">
          <reference field="4294967294" count="1" selected="0">
            <x v="0"/>
          </reference>
        </references>
      </pivotArea>
    </format>
    <format dxfId="6027">
      <pivotArea type="all" dataOnly="0" outline="0" fieldPosition="0"/>
    </format>
    <format dxfId="6026">
      <pivotArea outline="0" collapsedLevelsAreSubtotals="1" fieldPosition="0"/>
    </format>
    <format dxfId="6025">
      <pivotArea field="15" type="button" dataOnly="0" labelOnly="1" outline="0" axis="axisRow" fieldPosition="0"/>
    </format>
    <format dxfId="6024">
      <pivotArea dataOnly="0" labelOnly="1" fieldPosition="0">
        <references count="1">
          <reference field="15" count="0"/>
        </references>
      </pivotArea>
    </format>
    <format dxfId="6023">
      <pivotArea dataOnly="0" labelOnly="1" grandRow="1" outline="0" fieldPosition="0"/>
    </format>
    <format dxfId="6022">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952A2DD-A66B-4806-BE8F-7E61B2423E2E}"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12:N26" firstHeaderRow="1" firstDataRow="1" firstDataCol="1"/>
  <pivotFields count="16">
    <pivotField dataField="1" showAll="0"/>
    <pivotField showAll="0"/>
    <pivotField showAll="0">
      <items count="5">
        <item x="1"/>
        <item x="2"/>
        <item x="0"/>
        <item x="3"/>
        <item t="default"/>
      </items>
    </pivotField>
    <pivotField showAll="0">
      <items count="4">
        <item x="1"/>
        <item x="0"/>
        <item x="2"/>
        <item t="default"/>
      </items>
    </pivotField>
    <pivotField showAll="0"/>
    <pivotField showAll="0"/>
    <pivotField showAll="0"/>
    <pivotField showAll="0"/>
    <pivotField showAll="0"/>
    <pivotField showAll="0"/>
    <pivotField showAll="0"/>
    <pivotField showAll="0">
      <items count="4">
        <item x="0"/>
        <item x="2"/>
        <item x="1"/>
        <item t="default"/>
      </items>
    </pivotField>
    <pivotField axis="axisRow" showAll="0">
      <items count="14">
        <item x="0"/>
        <item x="2"/>
        <item x="7"/>
        <item x="12"/>
        <item x="11"/>
        <item x="6"/>
        <item x="4"/>
        <item x="1"/>
        <item x="10"/>
        <item x="5"/>
        <item x="8"/>
        <item x="3"/>
        <item x="9"/>
        <item t="default"/>
      </items>
    </pivotField>
    <pivotField showAll="0"/>
    <pivotField showAll="0">
      <items count="4">
        <item x="0"/>
        <item x="1"/>
        <item x="2"/>
        <item t="default"/>
      </items>
    </pivotField>
    <pivotField showAll="0"/>
  </pivotFields>
  <rowFields count="1">
    <field x="12"/>
  </rowFields>
  <rowItems count="14">
    <i>
      <x/>
    </i>
    <i>
      <x v="1"/>
    </i>
    <i>
      <x v="2"/>
    </i>
    <i>
      <x v="3"/>
    </i>
    <i>
      <x v="4"/>
    </i>
    <i>
      <x v="5"/>
    </i>
    <i>
      <x v="6"/>
    </i>
    <i>
      <x v="7"/>
    </i>
    <i>
      <x v="8"/>
    </i>
    <i>
      <x v="9"/>
    </i>
    <i>
      <x v="10"/>
    </i>
    <i>
      <x v="11"/>
    </i>
    <i>
      <x v="12"/>
    </i>
    <i t="grand">
      <x/>
    </i>
  </rowItems>
  <colItems count="1">
    <i/>
  </colItems>
  <dataFields count="1">
    <dataField name="Count of Patient_ID" fld="0" subtotal="count" baseField="0" baseItem="0"/>
  </dataFields>
  <formats count="6">
    <format dxfId="6034">
      <pivotArea type="all" dataOnly="0" outline="0" fieldPosition="0"/>
    </format>
    <format dxfId="6033">
      <pivotArea outline="0" collapsedLevelsAreSubtotals="1" fieldPosition="0"/>
    </format>
    <format dxfId="6032">
      <pivotArea field="12" type="button" dataOnly="0" labelOnly="1" outline="0" axis="axisRow" fieldPosition="0"/>
    </format>
    <format dxfId="6031">
      <pivotArea dataOnly="0" labelOnly="1" fieldPosition="0">
        <references count="1">
          <reference field="12" count="0"/>
        </references>
      </pivotArea>
    </format>
    <format dxfId="6030">
      <pivotArea dataOnly="0" labelOnly="1" grandRow="1" outline="0" fieldPosition="0"/>
    </format>
    <format dxfId="602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723F0F2-2C50-4B37-9784-FF29F607A19A}"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58:J64" firstHeaderRow="1" firstDataRow="2" firstDataCol="1"/>
  <pivotFields count="16">
    <pivotField dataField="1" showAll="0"/>
    <pivotField showAll="0"/>
    <pivotField axis="axisRow" showAll="0">
      <items count="5">
        <item x="1"/>
        <item x="2"/>
        <item x="0"/>
        <item x="3"/>
        <item t="default"/>
      </items>
    </pivotField>
    <pivotField showAll="0">
      <items count="4">
        <item x="1"/>
        <item x="0"/>
        <item x="2"/>
        <item t="default"/>
      </items>
    </pivotField>
    <pivotField showAll="0"/>
    <pivotField showAll="0"/>
    <pivotField showAll="0"/>
    <pivotField showAll="0"/>
    <pivotField showAll="0"/>
    <pivotField showAll="0"/>
    <pivotField showAll="0"/>
    <pivotField showAll="0">
      <items count="4">
        <item x="0"/>
        <item x="2"/>
        <item x="1"/>
        <item t="default"/>
      </items>
    </pivotField>
    <pivotField showAll="0"/>
    <pivotField showAll="0"/>
    <pivotField axis="axisCol" showAll="0">
      <items count="4">
        <item x="0"/>
        <item x="1"/>
        <item x="2"/>
        <item t="default"/>
      </items>
    </pivotField>
    <pivotField showAll="0"/>
  </pivotFields>
  <rowFields count="1">
    <field x="2"/>
  </rowFields>
  <rowItems count="5">
    <i>
      <x/>
    </i>
    <i>
      <x v="1"/>
    </i>
    <i>
      <x v="2"/>
    </i>
    <i>
      <x v="3"/>
    </i>
    <i t="grand">
      <x/>
    </i>
  </rowItems>
  <colFields count="1">
    <field x="14"/>
  </colFields>
  <colItems count="4">
    <i>
      <x/>
    </i>
    <i>
      <x v="1"/>
    </i>
    <i>
      <x v="2"/>
    </i>
    <i t="grand">
      <x/>
    </i>
  </colItems>
  <dataFields count="1">
    <dataField name="Count of Patient_ID" fld="0" subtotal="count" baseField="0" baseItem="0"/>
  </dataFields>
  <formats count="13">
    <format dxfId="6047">
      <pivotArea outline="0" collapsedLevelsAreSubtotals="1" fieldPosition="0">
        <references count="1">
          <reference field="14" count="1" selected="0">
            <x v="0"/>
          </reference>
        </references>
      </pivotArea>
    </format>
    <format dxfId="6046">
      <pivotArea dataOnly="0" fieldPosition="0">
        <references count="1">
          <reference field="2" count="1">
            <x v="2"/>
          </reference>
        </references>
      </pivotArea>
    </format>
    <format dxfId="6045">
      <pivotArea type="all" dataOnly="0" outline="0" fieldPosition="0"/>
    </format>
    <format dxfId="6044">
      <pivotArea outline="0" collapsedLevelsAreSubtotals="1" fieldPosition="0"/>
    </format>
    <format dxfId="6043">
      <pivotArea type="origin" dataOnly="0" labelOnly="1" outline="0" fieldPosition="0"/>
    </format>
    <format dxfId="6042">
      <pivotArea field="14" type="button" dataOnly="0" labelOnly="1" outline="0" axis="axisCol" fieldPosition="0"/>
    </format>
    <format dxfId="6041">
      <pivotArea type="topRight" dataOnly="0" labelOnly="1" outline="0" fieldPosition="0"/>
    </format>
    <format dxfId="6040">
      <pivotArea field="2" type="button" dataOnly="0" labelOnly="1" outline="0" axis="axisRow" fieldPosition="0"/>
    </format>
    <format dxfId="6039">
      <pivotArea dataOnly="0" labelOnly="1" fieldPosition="0">
        <references count="1">
          <reference field="2" count="0"/>
        </references>
      </pivotArea>
    </format>
    <format dxfId="6038">
      <pivotArea dataOnly="0" labelOnly="1" grandRow="1" outline="0" fieldPosition="0"/>
    </format>
    <format dxfId="6037">
      <pivotArea dataOnly="0" labelOnly="1" fieldPosition="0">
        <references count="1">
          <reference field="14" count="0"/>
        </references>
      </pivotArea>
    </format>
    <format dxfId="6036">
      <pivotArea dataOnly="0" labelOnly="1" grandCol="1" outline="0" fieldPosition="0"/>
    </format>
    <format dxfId="6035">
      <pivotArea dataOnly="0" fieldPosition="0">
        <references count="1">
          <reference field="2"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D1D2D08-98F3-4B39-9976-B65B7BED5D47}"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M35:N40" firstHeaderRow="1" firstDataRow="1" firstDataCol="1"/>
  <pivotFields count="16">
    <pivotField dataField="1" showAll="0"/>
    <pivotField showAll="0"/>
    <pivotField showAll="0">
      <items count="5">
        <item x="1"/>
        <item x="2"/>
        <item x="0"/>
        <item x="3"/>
        <item t="default"/>
      </items>
    </pivotField>
    <pivotField showAll="0">
      <items count="4">
        <item x="1"/>
        <item x="0"/>
        <item x="2"/>
        <item t="default"/>
      </items>
    </pivotField>
    <pivotField showAll="0"/>
    <pivotField showAll="0"/>
    <pivotField axis="axisRow" showAll="0" sortType="descending">
      <items count="5">
        <item x="1"/>
        <item x="0"/>
        <item x="3"/>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4">
        <item x="0"/>
        <item x="2"/>
        <item x="1"/>
        <item t="default"/>
      </items>
    </pivotField>
    <pivotField showAll="0"/>
    <pivotField showAll="0"/>
    <pivotField showAll="0">
      <items count="4">
        <item x="0"/>
        <item x="1"/>
        <item x="2"/>
        <item t="default"/>
      </items>
    </pivotField>
    <pivotField showAll="0"/>
  </pivotFields>
  <rowFields count="1">
    <field x="6"/>
  </rowFields>
  <rowItems count="5">
    <i>
      <x v="1"/>
    </i>
    <i>
      <x v="2"/>
    </i>
    <i>
      <x/>
    </i>
    <i>
      <x v="3"/>
    </i>
    <i t="grand">
      <x/>
    </i>
  </rowItems>
  <colItems count="1">
    <i/>
  </colItems>
  <dataFields count="1">
    <dataField name="Count of Patient_ID" fld="0" subtotal="count" baseField="0" baseItem="0"/>
  </dataFields>
  <formats count="6">
    <format dxfId="6053">
      <pivotArea type="all" dataOnly="0" outline="0" fieldPosition="0"/>
    </format>
    <format dxfId="6052">
      <pivotArea outline="0" collapsedLevelsAreSubtotals="1" fieldPosition="0"/>
    </format>
    <format dxfId="6051">
      <pivotArea field="6" type="button" dataOnly="0" labelOnly="1" outline="0" axis="axisRow" fieldPosition="0"/>
    </format>
    <format dxfId="6050">
      <pivotArea dataOnly="0" labelOnly="1" fieldPosition="0">
        <references count="1">
          <reference field="6" count="0"/>
        </references>
      </pivotArea>
    </format>
    <format dxfId="6049">
      <pivotArea dataOnly="0" labelOnly="1" grandRow="1" outline="0" fieldPosition="0"/>
    </format>
    <format dxfId="604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245B5D2-E47B-4BEC-8D20-4DD322D723C4}"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5:I40" firstHeaderRow="1" firstDataRow="2" firstDataCol="1"/>
  <pivotFields count="16">
    <pivotField dataField="1" showAll="0"/>
    <pivotField showAll="0"/>
    <pivotField showAll="0">
      <items count="5">
        <item x="1"/>
        <item x="2"/>
        <item x="0"/>
        <item x="3"/>
        <item t="default"/>
      </items>
    </pivotField>
    <pivotField axis="axisRow" showAll="0">
      <items count="4">
        <item x="1"/>
        <item x="0"/>
        <item x="2"/>
        <item t="default"/>
      </items>
    </pivotField>
    <pivotField showAll="0"/>
    <pivotField showAll="0"/>
    <pivotField showAll="0"/>
    <pivotField showAll="0"/>
    <pivotField showAll="0"/>
    <pivotField showAll="0"/>
    <pivotField showAll="0"/>
    <pivotField axis="axisCol" showAll="0">
      <items count="4">
        <item x="0"/>
        <item x="2"/>
        <item x="1"/>
        <item t="default"/>
      </items>
    </pivotField>
    <pivotField showAll="0"/>
    <pivotField showAll="0"/>
    <pivotField showAll="0">
      <items count="4">
        <item x="0"/>
        <item x="1"/>
        <item x="2"/>
        <item t="default"/>
      </items>
    </pivotField>
    <pivotField showAll="0"/>
  </pivotFields>
  <rowFields count="1">
    <field x="3"/>
  </rowFields>
  <rowItems count="4">
    <i>
      <x/>
    </i>
    <i>
      <x v="1"/>
    </i>
    <i>
      <x v="2"/>
    </i>
    <i t="grand">
      <x/>
    </i>
  </rowItems>
  <colFields count="1">
    <field x="11"/>
  </colFields>
  <colItems count="4">
    <i>
      <x/>
    </i>
    <i>
      <x v="1"/>
    </i>
    <i>
      <x v="2"/>
    </i>
    <i t="grand">
      <x/>
    </i>
  </colItems>
  <dataFields count="1">
    <dataField name="Count of Patient_ID" fld="0" subtotal="count" baseField="0" baseItem="0"/>
  </dataFields>
  <formats count="15">
    <format dxfId="6068">
      <pivotArea outline="0" collapsedLevelsAreSubtotals="1" fieldPosition="0">
        <references count="1">
          <reference field="11" count="1" selected="0">
            <x v="0"/>
          </reference>
        </references>
      </pivotArea>
    </format>
    <format dxfId="6067">
      <pivotArea outline="0" collapsedLevelsAreSubtotals="1" fieldPosition="0">
        <references count="1">
          <reference field="11" count="1" selected="0">
            <x v="1"/>
          </reference>
        </references>
      </pivotArea>
    </format>
    <format dxfId="6066">
      <pivotArea outline="0" collapsedLevelsAreSubtotals="1" fieldPosition="0">
        <references count="1">
          <reference field="11" count="1" selected="0">
            <x v="2"/>
          </reference>
        </references>
      </pivotArea>
    </format>
    <format dxfId="6065">
      <pivotArea grandCol="1" outline="0" collapsedLevelsAreSubtotals="1" fieldPosition="0"/>
    </format>
    <format dxfId="6064">
      <pivotArea type="all" dataOnly="0" outline="0" fieldPosition="0"/>
    </format>
    <format dxfId="6063">
      <pivotArea outline="0" collapsedLevelsAreSubtotals="1" fieldPosition="0"/>
    </format>
    <format dxfId="6062">
      <pivotArea type="origin" dataOnly="0" labelOnly="1" outline="0" fieldPosition="0"/>
    </format>
    <format dxfId="6061">
      <pivotArea field="11" type="button" dataOnly="0" labelOnly="1" outline="0" axis="axisCol" fieldPosition="0"/>
    </format>
    <format dxfId="6060">
      <pivotArea type="topRight" dataOnly="0" labelOnly="1" outline="0" fieldPosition="0"/>
    </format>
    <format dxfId="6059">
      <pivotArea field="3" type="button" dataOnly="0" labelOnly="1" outline="0" axis="axisRow" fieldPosition="0"/>
    </format>
    <format dxfId="6058">
      <pivotArea dataOnly="0" labelOnly="1" fieldPosition="0">
        <references count="1">
          <reference field="3" count="0"/>
        </references>
      </pivotArea>
    </format>
    <format dxfId="6057">
      <pivotArea dataOnly="0" labelOnly="1" grandRow="1" outline="0" fieldPosition="0"/>
    </format>
    <format dxfId="6056">
      <pivotArea dataOnly="0" labelOnly="1" fieldPosition="0">
        <references count="1">
          <reference field="11" count="0"/>
        </references>
      </pivotArea>
    </format>
    <format dxfId="6055">
      <pivotArea dataOnly="0" labelOnly="1" grandCol="1" outline="0" fieldPosition="0"/>
    </format>
    <format dxfId="6054">
      <pivotArea collapsedLevelsAreSubtotals="1" fieldPosition="0">
        <references count="2">
          <reference field="3" count="2">
            <x v="0"/>
            <x v="1"/>
          </reference>
          <reference field="11"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4F46B09-2553-46C2-89A6-B06E2B566D99}"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29:N30" firstHeaderRow="0" firstDataRow="1" firstDataCol="0"/>
  <pivotFields count="16">
    <pivotField showAll="0"/>
    <pivotField showAll="0"/>
    <pivotField showAll="0">
      <items count="5">
        <item x="1"/>
        <item x="2"/>
        <item x="0"/>
        <item x="3"/>
        <item t="default"/>
      </items>
    </pivotField>
    <pivotField showAll="0">
      <items count="4">
        <item x="1"/>
        <item x="0"/>
        <item x="2"/>
        <item t="default"/>
      </items>
    </pivotField>
    <pivotField showAll="0"/>
    <pivotField showAll="0"/>
    <pivotField showAll="0"/>
    <pivotField dataField="1" showAll="0"/>
    <pivotField showAll="0"/>
    <pivotField showAll="0"/>
    <pivotField showAll="0"/>
    <pivotField showAll="0">
      <items count="4">
        <item x="0"/>
        <item x="2"/>
        <item x="1"/>
        <item t="default"/>
      </items>
    </pivotField>
    <pivotField showAll="0"/>
    <pivotField showAll="0"/>
    <pivotField showAll="0">
      <items count="4">
        <item x="0"/>
        <item x="1"/>
        <item x="2"/>
        <item t="default"/>
      </items>
    </pivotField>
    <pivotField showAll="0"/>
  </pivotFields>
  <rowItems count="1">
    <i/>
  </rowItems>
  <colFields count="1">
    <field x="-2"/>
  </colFields>
  <colItems count="2">
    <i>
      <x/>
    </i>
    <i i="1">
      <x v="1"/>
    </i>
  </colItems>
  <dataFields count="2">
    <dataField name="Max of BMI" fld="7" subtotal="max" baseField="0" baseItem="1"/>
    <dataField name="Min of BMI2" fld="7" subtotal="min"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6C9A7F1-5BBC-43EB-8D1E-BE2C339BA27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K4" firstHeaderRow="0" firstDataRow="1" firstDataCol="0"/>
  <pivotFields count="16">
    <pivotField showAll="0"/>
    <pivotField dataField="1" showAll="0"/>
    <pivotField showAll="0">
      <items count="5">
        <item x="1"/>
        <item x="2"/>
        <item x="0"/>
        <item x="3"/>
        <item t="default"/>
      </items>
    </pivotField>
    <pivotField showAll="0">
      <items count="4">
        <item x="1"/>
        <item x="0"/>
        <item x="2"/>
        <item t="default"/>
      </items>
    </pivotField>
    <pivotField showAll="0"/>
    <pivotField showAll="0"/>
    <pivotField showAll="0"/>
    <pivotField showAll="0"/>
    <pivotField showAll="0"/>
    <pivotField showAll="0"/>
    <pivotField showAll="0"/>
    <pivotField showAll="0">
      <items count="4">
        <item x="0"/>
        <item x="2"/>
        <item x="1"/>
        <item t="default"/>
      </items>
    </pivotField>
    <pivotField showAll="0"/>
    <pivotField showAll="0"/>
    <pivotField showAll="0">
      <items count="4">
        <item x="0"/>
        <item x="1"/>
        <item x="2"/>
        <item t="default"/>
      </items>
    </pivotField>
    <pivotField showAll="0"/>
  </pivotFields>
  <rowItems count="1">
    <i/>
  </rowItems>
  <colFields count="1">
    <field x="-2"/>
  </colFields>
  <colItems count="2">
    <i>
      <x/>
    </i>
    <i i="1">
      <x v="1"/>
    </i>
  </colItems>
  <dataFields count="2">
    <dataField name="Min of Age" fld="1" subtotal="min" baseField="0" baseItem="1"/>
    <dataField name="Max of Age2" fld="1" subtotal="max" baseField="0" baseItem="1"/>
  </dataFields>
  <formats count="3">
    <format dxfId="6071">
      <pivotArea type="all" dataOnly="0" outline="0" fieldPosition="0"/>
    </format>
    <format dxfId="6070">
      <pivotArea outline="0" collapsedLevelsAreSubtotals="1" fieldPosition="0"/>
    </format>
    <format dxfId="6069">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BEC3117-CCB9-4ABE-8B5F-CFC5683744C4}"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23:K32" firstHeaderRow="1" firstDataRow="1" firstDataCol="1"/>
  <pivotFields count="16">
    <pivotField dataField="1" showAll="0"/>
    <pivotField showAll="0"/>
    <pivotField showAll="0">
      <items count="5">
        <item x="1"/>
        <item x="2"/>
        <item x="0"/>
        <item x="3"/>
        <item t="default"/>
      </items>
    </pivotField>
    <pivotField showAll="0">
      <items count="4">
        <item x="1"/>
        <item x="0"/>
        <item x="2"/>
        <item t="default"/>
      </items>
    </pivotField>
    <pivotField showAll="0"/>
    <pivotField showAll="0"/>
    <pivotField showAll="0"/>
    <pivotField showAll="0"/>
    <pivotField showAll="0"/>
    <pivotField showAll="0"/>
    <pivotField showAll="0"/>
    <pivotField showAll="0">
      <items count="4">
        <item x="0"/>
        <item x="2"/>
        <item x="1"/>
        <item t="default"/>
      </items>
    </pivotField>
    <pivotField showAll="0"/>
    <pivotField showAll="0"/>
    <pivotField showAll="0">
      <items count="4">
        <item x="0"/>
        <item x="1"/>
        <item x="2"/>
        <item t="default"/>
      </items>
    </pivotField>
    <pivotField axis="axisRow" showAll="0">
      <items count="9">
        <item x="0"/>
        <item x="5"/>
        <item x="7"/>
        <item x="6"/>
        <item x="4"/>
        <item x="1"/>
        <item x="3"/>
        <item x="2"/>
        <item t="default"/>
      </items>
    </pivotField>
  </pivotFields>
  <rowFields count="1">
    <field x="15"/>
  </rowFields>
  <rowItems count="9">
    <i>
      <x/>
    </i>
    <i>
      <x v="1"/>
    </i>
    <i>
      <x v="2"/>
    </i>
    <i>
      <x v="3"/>
    </i>
    <i>
      <x v="4"/>
    </i>
    <i>
      <x v="5"/>
    </i>
    <i>
      <x v="6"/>
    </i>
    <i>
      <x v="7"/>
    </i>
    <i t="grand">
      <x/>
    </i>
  </rowItems>
  <colItems count="1">
    <i/>
  </colItems>
  <dataFields count="1">
    <dataField name="Count of Patient_ID" fld="0" subtotal="count" baseField="0" baseItem="0"/>
  </dataFields>
  <formats count="6">
    <format dxfId="6077">
      <pivotArea type="all" dataOnly="0" outline="0" fieldPosition="0"/>
    </format>
    <format dxfId="6076">
      <pivotArea outline="0" collapsedLevelsAreSubtotals="1" fieldPosition="0"/>
    </format>
    <format dxfId="6075">
      <pivotArea field="15" type="button" dataOnly="0" labelOnly="1" outline="0" axis="axisRow" fieldPosition="0"/>
    </format>
    <format dxfId="6074">
      <pivotArea dataOnly="0" labelOnly="1" fieldPosition="0">
        <references count="1">
          <reference field="15" count="0"/>
        </references>
      </pivotArea>
    </format>
    <format dxfId="6073">
      <pivotArea dataOnly="0" labelOnly="1" grandRow="1" outline="0" fieldPosition="0"/>
    </format>
    <format dxfId="607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36255F1-93BD-4372-A878-B70DF1B5DD9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F7" firstHeaderRow="1" firstDataRow="1" firstDataCol="1"/>
  <pivotFields count="16">
    <pivotField dataField="1" showAll="0"/>
    <pivotField showAll="0"/>
    <pivotField showAll="0">
      <items count="5">
        <item x="1"/>
        <item x="2"/>
        <item x="0"/>
        <item x="3"/>
        <item t="default"/>
      </items>
    </pivotField>
    <pivotField axis="axisRow" showAll="0">
      <items count="4">
        <item x="1"/>
        <item x="0"/>
        <item x="2"/>
        <item t="default"/>
      </items>
    </pivotField>
    <pivotField showAll="0"/>
    <pivotField showAll="0"/>
    <pivotField showAll="0"/>
    <pivotField showAll="0"/>
    <pivotField showAll="0"/>
    <pivotField showAll="0"/>
    <pivotField showAll="0"/>
    <pivotField showAll="0">
      <items count="4">
        <item x="0"/>
        <item x="2"/>
        <item x="1"/>
        <item t="default"/>
      </items>
    </pivotField>
    <pivotField showAll="0"/>
    <pivotField showAll="0"/>
    <pivotField showAll="0">
      <items count="4">
        <item x="0"/>
        <item x="1"/>
        <item x="2"/>
        <item t="default"/>
      </items>
    </pivotField>
    <pivotField showAll="0"/>
  </pivotFields>
  <rowFields count="1">
    <field x="3"/>
  </rowFields>
  <rowItems count="4">
    <i>
      <x/>
    </i>
    <i>
      <x v="1"/>
    </i>
    <i>
      <x v="2"/>
    </i>
    <i t="grand">
      <x/>
    </i>
  </rowItems>
  <colItems count="1">
    <i/>
  </colItems>
  <dataFields count="1">
    <dataField name="Count of Patient_ID" fld="0" subtotal="count" baseField="0" baseItem="0"/>
  </dataFields>
  <formats count="6">
    <format dxfId="6083">
      <pivotArea type="all" dataOnly="0" outline="0" fieldPosition="0"/>
    </format>
    <format dxfId="6082">
      <pivotArea outline="0" collapsedLevelsAreSubtotals="1" fieldPosition="0"/>
    </format>
    <format dxfId="6081">
      <pivotArea field="3" type="button" dataOnly="0" labelOnly="1" outline="0" axis="axisRow" fieldPosition="0"/>
    </format>
    <format dxfId="6080">
      <pivotArea dataOnly="0" labelOnly="1" fieldPosition="0">
        <references count="1">
          <reference field="3" count="0"/>
        </references>
      </pivotArea>
    </format>
    <format dxfId="6079">
      <pivotArea dataOnly="0" labelOnly="1" grandRow="1" outline="0" fieldPosition="0"/>
    </format>
    <format dxfId="607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0341DF7-8809-4BAA-8078-E5AE08FBD61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6">
    <pivotField dataField="1" showAll="0"/>
    <pivotField showAll="0"/>
    <pivotField showAll="0">
      <items count="5">
        <item x="1"/>
        <item x="2"/>
        <item x="0"/>
        <item x="3"/>
        <item t="default"/>
      </items>
    </pivotField>
    <pivotField showAll="0">
      <items count="4">
        <item x="1"/>
        <item x="0"/>
        <item x="2"/>
        <item t="default"/>
      </items>
    </pivotField>
    <pivotField showAll="0"/>
    <pivotField showAll="0"/>
    <pivotField showAll="0"/>
    <pivotField showAll="0"/>
    <pivotField showAll="0"/>
    <pivotField showAll="0"/>
    <pivotField showAll="0"/>
    <pivotField axis="axisRow" showAll="0">
      <items count="4">
        <item x="0"/>
        <item x="2"/>
        <item x="1"/>
        <item t="default"/>
      </items>
    </pivotField>
    <pivotField showAll="0"/>
    <pivotField showAll="0"/>
    <pivotField showAll="0">
      <items count="4">
        <item x="0"/>
        <item x="1"/>
        <item x="2"/>
        <item t="default"/>
      </items>
    </pivotField>
    <pivotField showAll="0"/>
  </pivotFields>
  <rowFields count="1">
    <field x="11"/>
  </rowFields>
  <rowItems count="4">
    <i>
      <x/>
    </i>
    <i>
      <x v="1"/>
    </i>
    <i>
      <x v="2"/>
    </i>
    <i t="grand">
      <x/>
    </i>
  </rowItems>
  <colItems count="1">
    <i/>
  </colItems>
  <dataFields count="1">
    <dataField name="Count of Patient_ID" fld="0" subtotal="count" baseField="0" baseItem="0"/>
  </dataFields>
  <formats count="6">
    <format dxfId="6089">
      <pivotArea type="all" dataOnly="0" outline="0" fieldPosition="0"/>
    </format>
    <format dxfId="6088">
      <pivotArea outline="0" collapsedLevelsAreSubtotals="1" fieldPosition="0"/>
    </format>
    <format dxfId="6087">
      <pivotArea field="11" type="button" dataOnly="0" labelOnly="1" outline="0" axis="axisRow" fieldPosition="0"/>
    </format>
    <format dxfId="6086">
      <pivotArea dataOnly="0" labelOnly="1" fieldPosition="0">
        <references count="1">
          <reference field="11" count="0"/>
        </references>
      </pivotArea>
    </format>
    <format dxfId="6085">
      <pivotArea dataOnly="0" labelOnly="1" grandRow="1" outline="0" fieldPosition="0"/>
    </format>
    <format dxfId="608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8F2F07A-7ADD-4BF0-91B0-8B68FC2D4B1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3:F18" firstHeaderRow="1" firstDataRow="1" firstDataCol="1"/>
  <pivotFields count="16">
    <pivotField dataField="1" showAll="0"/>
    <pivotField showAll="0"/>
    <pivotField showAll="0">
      <items count="5">
        <item x="1"/>
        <item x="2"/>
        <item x="0"/>
        <item x="3"/>
        <item t="default"/>
      </items>
    </pivotField>
    <pivotField showAll="0">
      <items count="4">
        <item x="1"/>
        <item x="0"/>
        <item x="2"/>
        <item t="default"/>
      </items>
    </pivotField>
    <pivotField showAll="0"/>
    <pivotField showAll="0"/>
    <pivotField showAll="0"/>
    <pivotField showAll="0"/>
    <pivotField showAll="0"/>
    <pivotField showAll="0"/>
    <pivotField axis="axisRow" showAll="0">
      <items count="5">
        <item x="2"/>
        <item x="1"/>
        <item x="0"/>
        <item x="3"/>
        <item t="default"/>
      </items>
    </pivotField>
    <pivotField showAll="0">
      <items count="4">
        <item x="0"/>
        <item x="2"/>
        <item x="1"/>
        <item t="default"/>
      </items>
    </pivotField>
    <pivotField showAll="0"/>
    <pivotField showAll="0"/>
    <pivotField showAll="0">
      <items count="4">
        <item x="0"/>
        <item x="1"/>
        <item x="2"/>
        <item t="default"/>
      </items>
    </pivotField>
    <pivotField showAll="0"/>
  </pivotFields>
  <rowFields count="1">
    <field x="10"/>
  </rowFields>
  <rowItems count="5">
    <i>
      <x/>
    </i>
    <i>
      <x v="1"/>
    </i>
    <i>
      <x v="2"/>
    </i>
    <i>
      <x v="3"/>
    </i>
    <i t="grand">
      <x/>
    </i>
  </rowItems>
  <colItems count="1">
    <i/>
  </colItems>
  <dataFields count="1">
    <dataField name="Count of Patient_ID" fld="0" subtotal="count" baseField="0" baseItem="0"/>
  </dataFields>
  <formats count="6">
    <format dxfId="6095">
      <pivotArea type="all" dataOnly="0" outline="0" fieldPosition="0"/>
    </format>
    <format dxfId="6094">
      <pivotArea outline="0" collapsedLevelsAreSubtotals="1" fieldPosition="0"/>
    </format>
    <format dxfId="6093">
      <pivotArea field="10" type="button" dataOnly="0" labelOnly="1" outline="0" axis="axisRow" fieldPosition="0"/>
    </format>
    <format dxfId="6092">
      <pivotArea dataOnly="0" labelOnly="1" fieldPosition="0">
        <references count="1">
          <reference field="10" count="0"/>
        </references>
      </pivotArea>
    </format>
    <format dxfId="6091">
      <pivotArea dataOnly="0" labelOnly="1" grandRow="1" outline="0" fieldPosition="0"/>
    </format>
    <format dxfId="609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586B45A6-AB2B-4E32-B1BD-065E1AA359D5}" name="PivotTable2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78:H83" firstHeaderRow="1" firstDataRow="1" firstDataCol="1"/>
  <pivotFields count="16">
    <pivotField showAll="0"/>
    <pivotField showAll="0"/>
    <pivotField axis="axisRow" showAll="0">
      <items count="5">
        <item x="1"/>
        <item x="2"/>
        <item x="0"/>
        <item x="3"/>
        <item t="default"/>
      </items>
    </pivotField>
    <pivotField showAll="0">
      <items count="4">
        <item x="1"/>
        <item x="0"/>
        <item x="2"/>
        <item t="default"/>
      </items>
    </pivotField>
    <pivotField showAll="0"/>
    <pivotField showAll="0"/>
    <pivotField showAll="0"/>
    <pivotField showAll="0"/>
    <pivotField showAll="0"/>
    <pivotField dataField="1" showAll="0"/>
    <pivotField showAll="0"/>
    <pivotField showAll="0">
      <items count="4">
        <item x="0"/>
        <item x="2"/>
        <item x="1"/>
        <item t="default"/>
      </items>
    </pivotField>
    <pivotField showAll="0"/>
    <pivotField showAll="0"/>
    <pivotField showAll="0">
      <items count="4">
        <item x="0"/>
        <item x="1"/>
        <item x="2"/>
        <item t="default"/>
      </items>
    </pivotField>
    <pivotField showAll="0"/>
  </pivotFields>
  <rowFields count="1">
    <field x="2"/>
  </rowFields>
  <rowItems count="5">
    <i>
      <x/>
    </i>
    <i>
      <x v="1"/>
    </i>
    <i>
      <x v="2"/>
    </i>
    <i>
      <x v="3"/>
    </i>
    <i t="grand">
      <x/>
    </i>
  </rowItems>
  <colItems count="1">
    <i/>
  </colItems>
  <dataFields count="1">
    <dataField name="Average of BP_Value" fld="9" subtotal="average" baseField="2" baseItem="0"/>
  </dataFields>
  <formats count="6">
    <format dxfId="6101">
      <pivotArea type="all" dataOnly="0" outline="0" fieldPosition="0"/>
    </format>
    <format dxfId="6100">
      <pivotArea outline="0" collapsedLevelsAreSubtotals="1" fieldPosition="0"/>
    </format>
    <format dxfId="6099">
      <pivotArea field="2" type="button" dataOnly="0" labelOnly="1" outline="0" axis="axisRow" fieldPosition="0"/>
    </format>
    <format dxfId="6098">
      <pivotArea dataOnly="0" labelOnly="1" fieldPosition="0">
        <references count="1">
          <reference field="2" count="0"/>
        </references>
      </pivotArea>
    </format>
    <format dxfId="6097">
      <pivotArea dataOnly="0" labelOnly="1" grandRow="1" outline="0" fieldPosition="0"/>
    </format>
    <format dxfId="6096">
      <pivotArea dataOnly="0" labelOnly="1" outline="0" axis="axisValues" fieldPosition="0"/>
    </format>
  </formats>
  <chartFormats count="3">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6D4EBD7D-A7BF-40CA-A24D-81B0E7CB5E48}"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8:B73" firstHeaderRow="1" firstDataRow="1" firstDataCol="1"/>
  <pivotFields count="16">
    <pivotField showAll="0"/>
    <pivotField showAll="0"/>
    <pivotField showAll="0">
      <items count="5">
        <item x="1"/>
        <item x="2"/>
        <item x="0"/>
        <item x="3"/>
        <item t="default"/>
      </items>
    </pivotField>
    <pivotField showAll="0">
      <items count="4">
        <item x="1"/>
        <item x="0"/>
        <item x="2"/>
        <item t="default"/>
      </items>
    </pivotField>
    <pivotField showAll="0"/>
    <pivotField showAll="0"/>
    <pivotField axis="axisRow" showAll="0" sortType="descending">
      <items count="5">
        <item x="1"/>
        <item x="0"/>
        <item x="3"/>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4">
        <item x="0"/>
        <item x="2"/>
        <item x="1"/>
        <item t="default"/>
      </items>
    </pivotField>
    <pivotField showAll="0"/>
    <pivotField showAll="0"/>
    <pivotField showAll="0">
      <items count="4">
        <item x="0"/>
        <item x="1"/>
        <item x="2"/>
        <item t="default"/>
      </items>
    </pivotField>
    <pivotField dataField="1" showAll="0"/>
  </pivotFields>
  <rowFields count="1">
    <field x="6"/>
  </rowFields>
  <rowItems count="5">
    <i>
      <x/>
    </i>
    <i>
      <x v="1"/>
    </i>
    <i>
      <x v="2"/>
    </i>
    <i>
      <x v="3"/>
    </i>
    <i t="grand">
      <x/>
    </i>
  </rowItems>
  <colItems count="1">
    <i/>
  </colItems>
  <dataFields count="1">
    <dataField name="Average of Exercise_Frequency" fld="15" subtotal="average" baseField="6" baseItem="0" numFmtId="2"/>
  </dataFields>
  <formats count="7">
    <format dxfId="6108">
      <pivotArea outline="0" collapsedLevelsAreSubtotals="1" fieldPosition="0"/>
    </format>
    <format dxfId="6107">
      <pivotArea type="all" dataOnly="0" outline="0" fieldPosition="0"/>
    </format>
    <format dxfId="6106">
      <pivotArea outline="0" collapsedLevelsAreSubtotals="1" fieldPosition="0"/>
    </format>
    <format dxfId="6105">
      <pivotArea field="6" type="button" dataOnly="0" labelOnly="1" outline="0" axis="axisRow" fieldPosition="0"/>
    </format>
    <format dxfId="6104">
      <pivotArea dataOnly="0" labelOnly="1" fieldPosition="0">
        <references count="1">
          <reference field="6" count="0"/>
        </references>
      </pivotArea>
    </format>
    <format dxfId="6103">
      <pivotArea dataOnly="0" labelOnly="1" grandRow="1" outline="0" fieldPosition="0"/>
    </format>
    <format dxfId="610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B5A24281-D46D-4E0A-AA85-968831C6357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E44:I49" firstHeaderRow="1" firstDataRow="2" firstDataCol="1"/>
  <pivotFields count="16">
    <pivotField dataField="1" showAll="0"/>
    <pivotField showAll="0"/>
    <pivotField showAll="0">
      <items count="5">
        <item x="1"/>
        <item x="2"/>
        <item x="0"/>
        <item x="3"/>
        <item t="default"/>
      </items>
    </pivotField>
    <pivotField showAll="0">
      <items count="4">
        <item x="1"/>
        <item x="0"/>
        <item x="2"/>
        <item t="default"/>
      </items>
    </pivotField>
    <pivotField showAll="0"/>
    <pivotField showAll="0"/>
    <pivotField showAll="0"/>
    <pivotField showAll="0"/>
    <pivotField showAll="0"/>
    <pivotField showAll="0"/>
    <pivotField showAll="0"/>
    <pivotField axis="axisRow" showAll="0">
      <items count="4">
        <item x="0"/>
        <item x="2"/>
        <item x="1"/>
        <item t="default"/>
      </items>
    </pivotField>
    <pivotField showAll="0"/>
    <pivotField showAll="0"/>
    <pivotField axis="axisCol" showAll="0">
      <items count="4">
        <item x="0"/>
        <item x="1"/>
        <item x="2"/>
        <item t="default"/>
      </items>
    </pivotField>
    <pivotField showAll="0"/>
  </pivotFields>
  <rowFields count="1">
    <field x="11"/>
  </rowFields>
  <rowItems count="4">
    <i>
      <x/>
    </i>
    <i>
      <x v="1"/>
    </i>
    <i>
      <x v="2"/>
    </i>
    <i t="grand">
      <x/>
    </i>
  </rowItems>
  <colFields count="1">
    <field x="14"/>
  </colFields>
  <colItems count="4">
    <i>
      <x/>
    </i>
    <i>
      <x v="1"/>
    </i>
    <i>
      <x v="2"/>
    </i>
    <i t="grand">
      <x/>
    </i>
  </colItems>
  <dataFields count="1">
    <dataField name="Count of Patient_ID" fld="0" subtotal="count" baseField="0" baseItem="0"/>
  </dataFields>
  <formats count="12">
    <format dxfId="6120">
      <pivotArea outline="0" collapsedLevelsAreSubtotals="1" fieldPosition="0">
        <references count="1">
          <reference field="14" count="1" selected="0">
            <x v="1"/>
          </reference>
        </references>
      </pivotArea>
    </format>
    <format dxfId="6119">
      <pivotArea outline="0" collapsedLevelsAreSubtotals="1" fieldPosition="0">
        <references count="1">
          <reference field="14" count="1" selected="0">
            <x v="0"/>
          </reference>
        </references>
      </pivotArea>
    </format>
    <format dxfId="6118">
      <pivotArea type="all" dataOnly="0" outline="0" fieldPosition="0"/>
    </format>
    <format dxfId="6117">
      <pivotArea outline="0" collapsedLevelsAreSubtotals="1" fieldPosition="0"/>
    </format>
    <format dxfId="6116">
      <pivotArea type="origin" dataOnly="0" labelOnly="1" outline="0" fieldPosition="0"/>
    </format>
    <format dxfId="6115">
      <pivotArea field="14" type="button" dataOnly="0" labelOnly="1" outline="0" axis="axisCol" fieldPosition="0"/>
    </format>
    <format dxfId="6114">
      <pivotArea type="topRight" dataOnly="0" labelOnly="1" outline="0" fieldPosition="0"/>
    </format>
    <format dxfId="6113">
      <pivotArea field="11" type="button" dataOnly="0" labelOnly="1" outline="0" axis="axisRow" fieldPosition="0"/>
    </format>
    <format dxfId="6112">
      <pivotArea dataOnly="0" labelOnly="1" fieldPosition="0">
        <references count="1">
          <reference field="11" count="0"/>
        </references>
      </pivotArea>
    </format>
    <format dxfId="6111">
      <pivotArea dataOnly="0" labelOnly="1" grandRow="1" outline="0" fieldPosition="0"/>
    </format>
    <format dxfId="6110">
      <pivotArea dataOnly="0" labelOnly="1" fieldPosition="0">
        <references count="1">
          <reference field="14" count="0"/>
        </references>
      </pivotArea>
    </format>
    <format dxfId="6109">
      <pivotArea dataOnly="0" labelOnly="1" grandCol="1" outline="0" fieldPosition="0"/>
    </format>
  </formats>
  <chartFormats count="4">
    <chartFormat chart="12" format="6" series="1">
      <pivotArea type="data" outline="0" fieldPosition="0">
        <references count="2">
          <reference field="4294967294" count="1" selected="0">
            <x v="0"/>
          </reference>
          <reference field="14" count="1" selected="0">
            <x v="0"/>
          </reference>
        </references>
      </pivotArea>
    </chartFormat>
    <chartFormat chart="12" format="7" series="1">
      <pivotArea type="data" outline="0" fieldPosition="0">
        <references count="2">
          <reference field="4294967294" count="1" selected="0">
            <x v="0"/>
          </reference>
          <reference field="14" count="1" selected="0">
            <x v="1"/>
          </reference>
        </references>
      </pivotArea>
    </chartFormat>
    <chartFormat chart="12" format="8" series="1">
      <pivotArea type="data" outline="0" fieldPosition="0">
        <references count="2">
          <reference field="4294967294" count="1" selected="0">
            <x v="0"/>
          </reference>
          <reference field="14" count="1" selected="0">
            <x v="2"/>
          </reference>
        </references>
      </pivotArea>
    </chartFormat>
    <chartFormat chart="12"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93B642FA-4212-4B2A-AFD0-9A6CE5A6B964}"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68:J74" firstHeaderRow="1" firstDataRow="2" firstDataCol="1"/>
  <pivotFields count="16">
    <pivotField dataField="1" showAll="0"/>
    <pivotField showAll="0"/>
    <pivotField showAll="0">
      <items count="5">
        <item x="1"/>
        <item x="2"/>
        <item x="0"/>
        <item x="3"/>
        <item t="default"/>
      </items>
    </pivotField>
    <pivotField showAll="0">
      <items count="4">
        <item x="1"/>
        <item x="0"/>
        <item x="2"/>
        <item t="default"/>
      </items>
    </pivotField>
    <pivotField showAll="0"/>
    <pivotField showAll="0"/>
    <pivotField axis="axisRow" showAll="0">
      <items count="5">
        <item x="1"/>
        <item x="0"/>
        <item x="3"/>
        <item x="2"/>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4">
        <item x="0"/>
        <item x="1"/>
        <item x="2"/>
        <item t="default"/>
      </items>
    </pivotField>
    <pivotField showAll="0"/>
  </pivotFields>
  <rowFields count="1">
    <field x="6"/>
  </rowFields>
  <rowItems count="5">
    <i>
      <x/>
    </i>
    <i>
      <x v="1"/>
    </i>
    <i>
      <x v="2"/>
    </i>
    <i>
      <x v="3"/>
    </i>
    <i t="grand">
      <x/>
    </i>
  </rowItems>
  <colFields count="1">
    <field x="14"/>
  </colFields>
  <colItems count="4">
    <i>
      <x/>
    </i>
    <i>
      <x v="1"/>
    </i>
    <i>
      <x v="2"/>
    </i>
    <i t="grand">
      <x/>
    </i>
  </colItems>
  <dataFields count="1">
    <dataField name="Count of Patient_ID" fld="0" subtotal="count" baseField="0" baseItem="0"/>
  </dataFields>
  <formats count="12">
    <format dxfId="6132">
      <pivotArea outline="0" collapsedLevelsAreSubtotals="1" fieldPosition="0">
        <references count="1">
          <reference field="14" count="1" selected="0">
            <x v="0"/>
          </reference>
        </references>
      </pivotArea>
    </format>
    <format dxfId="6131">
      <pivotArea type="all" dataOnly="0" outline="0" fieldPosition="0"/>
    </format>
    <format dxfId="6130">
      <pivotArea outline="0" collapsedLevelsAreSubtotals="1" fieldPosition="0"/>
    </format>
    <format dxfId="6129">
      <pivotArea type="origin" dataOnly="0" labelOnly="1" outline="0" fieldPosition="0"/>
    </format>
    <format dxfId="6128">
      <pivotArea field="14" type="button" dataOnly="0" labelOnly="1" outline="0" axis="axisCol" fieldPosition="0"/>
    </format>
    <format dxfId="6127">
      <pivotArea type="topRight" dataOnly="0" labelOnly="1" outline="0" fieldPosition="0"/>
    </format>
    <format dxfId="6126">
      <pivotArea field="6" type="button" dataOnly="0" labelOnly="1" outline="0" axis="axisRow" fieldPosition="0"/>
    </format>
    <format dxfId="6125">
      <pivotArea dataOnly="0" labelOnly="1" fieldPosition="0">
        <references count="1">
          <reference field="6" count="0"/>
        </references>
      </pivotArea>
    </format>
    <format dxfId="6124">
      <pivotArea dataOnly="0" labelOnly="1" grandRow="1" outline="0" fieldPosition="0"/>
    </format>
    <format dxfId="6123">
      <pivotArea dataOnly="0" labelOnly="1" fieldPosition="0">
        <references count="1">
          <reference field="14" count="0"/>
        </references>
      </pivotArea>
    </format>
    <format dxfId="6122">
      <pivotArea dataOnly="0" labelOnly="1" grandCol="1" outline="0" fieldPosition="0"/>
    </format>
    <format dxfId="6121">
      <pivotArea dataOnly="0" fieldPosition="0">
        <references count="1">
          <reference field="6"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579C1FD4-0801-4B14-A0F9-0963E78AEE8B}"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6:C40" firstHeaderRow="0" firstDataRow="1" firstDataCol="1"/>
  <pivotFields count="16">
    <pivotField showAll="0"/>
    <pivotField dataField="1" showAll="0"/>
    <pivotField showAll="0">
      <items count="5">
        <item x="1"/>
        <item x="2"/>
        <item x="0"/>
        <item x="3"/>
        <item t="default"/>
      </items>
    </pivotField>
    <pivotField axis="axisRow" showAll="0">
      <items count="4">
        <item x="1"/>
        <item x="0"/>
        <item x="2"/>
        <item t="default"/>
      </items>
    </pivotField>
    <pivotField showAll="0"/>
    <pivotField showAll="0"/>
    <pivotField showAll="0"/>
    <pivotField showAll="0"/>
    <pivotField showAll="0"/>
    <pivotField showAll="0"/>
    <pivotField showAll="0"/>
    <pivotField showAll="0">
      <items count="4">
        <item x="0"/>
        <item x="2"/>
        <item x="1"/>
        <item t="default"/>
      </items>
    </pivotField>
    <pivotField showAll="0"/>
    <pivotField showAll="0"/>
    <pivotField showAll="0">
      <items count="4">
        <item x="0"/>
        <item x="1"/>
        <item x="2"/>
        <item t="default"/>
      </items>
    </pivotField>
    <pivotField showAll="0"/>
  </pivotFields>
  <rowFields count="1">
    <field x="3"/>
  </rowFields>
  <rowItems count="4">
    <i>
      <x/>
    </i>
    <i>
      <x v="1"/>
    </i>
    <i>
      <x v="2"/>
    </i>
    <i t="grand">
      <x/>
    </i>
  </rowItems>
  <colFields count="1">
    <field x="-2"/>
  </colFields>
  <colItems count="2">
    <i>
      <x/>
    </i>
    <i i="1">
      <x v="1"/>
    </i>
  </colItems>
  <dataFields count="2">
    <dataField name="Max of Age" fld="1" subtotal="max" baseField="2" baseItem="0"/>
    <dataField name="Min of Age2" fld="1" subtotal="min" baseField="2" baseItem="0"/>
  </dataFields>
  <formats count="14">
    <format dxfId="6146">
      <pivotArea type="all" dataOnly="0" outline="0" fieldPosition="0"/>
    </format>
    <format dxfId="6145">
      <pivotArea outline="0" collapsedLevelsAreSubtotals="1" fieldPosition="0"/>
    </format>
    <format dxfId="6144">
      <pivotArea field="3" type="button" dataOnly="0" labelOnly="1" outline="0" axis="axisRow" fieldPosition="0"/>
    </format>
    <format dxfId="6143">
      <pivotArea dataOnly="0" labelOnly="1" fieldPosition="0">
        <references count="1">
          <reference field="3" count="0"/>
        </references>
      </pivotArea>
    </format>
    <format dxfId="6142">
      <pivotArea dataOnly="0" labelOnly="1" grandRow="1" outline="0" fieldPosition="0"/>
    </format>
    <format dxfId="6141">
      <pivotArea dataOnly="0" labelOnly="1" outline="0" fieldPosition="0">
        <references count="1">
          <reference field="4294967294" count="2">
            <x v="0"/>
            <x v="1"/>
          </reference>
        </references>
      </pivotArea>
    </format>
    <format dxfId="6140">
      <pivotArea type="all" dataOnly="0" outline="0" fieldPosition="0"/>
    </format>
    <format dxfId="6139">
      <pivotArea outline="0" collapsedLevelsAreSubtotals="1" fieldPosition="0"/>
    </format>
    <format dxfId="6138">
      <pivotArea field="3" type="button" dataOnly="0" labelOnly="1" outline="0" axis="axisRow" fieldPosition="0"/>
    </format>
    <format dxfId="6137">
      <pivotArea dataOnly="0" labelOnly="1" fieldPosition="0">
        <references count="1">
          <reference field="3" count="0"/>
        </references>
      </pivotArea>
    </format>
    <format dxfId="6136">
      <pivotArea dataOnly="0" labelOnly="1" grandRow="1" outline="0" fieldPosition="0"/>
    </format>
    <format dxfId="6135">
      <pivotArea dataOnly="0" labelOnly="1" outline="0" fieldPosition="0">
        <references count="1">
          <reference field="4294967294" count="2">
            <x v="0"/>
            <x v="1"/>
          </reference>
        </references>
      </pivotArea>
    </format>
    <format dxfId="6134">
      <pivotArea collapsedLevelsAreSubtotals="1" fieldPosition="0">
        <references count="2">
          <reference field="4294967294" count="1" selected="0">
            <x v="0"/>
          </reference>
          <reference field="3" count="1">
            <x v="0"/>
          </reference>
        </references>
      </pivotArea>
    </format>
    <format dxfId="6133">
      <pivotArea collapsedLevelsAreSubtotals="1" fieldPosition="0">
        <references count="2">
          <reference field="4294967294" count="1" selected="0">
            <x v="1"/>
          </reference>
          <reference field="3"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AC3F5B6A-BFE5-418B-A216-37351A7AECE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B18" firstHeaderRow="1" firstDataRow="1" firstDataCol="1"/>
  <pivotFields count="16">
    <pivotField dataField="1" showAll="0"/>
    <pivotField showAll="0"/>
    <pivotField showAll="0">
      <items count="5">
        <item x="1"/>
        <item x="2"/>
        <item x="0"/>
        <item x="3"/>
        <item t="default"/>
      </items>
    </pivotField>
    <pivotField showAll="0">
      <items count="4">
        <item x="1"/>
        <item x="0"/>
        <item x="2"/>
        <item t="default"/>
      </items>
    </pivotField>
    <pivotField showAll="0"/>
    <pivotField showAll="0"/>
    <pivotField showAll="0"/>
    <pivotField showAll="0"/>
    <pivotField axis="axisRow" showAll="0">
      <items count="5">
        <item x="0"/>
        <item x="1"/>
        <item x="2"/>
        <item x="3"/>
        <item t="default"/>
      </items>
    </pivotField>
    <pivotField showAll="0"/>
    <pivotField showAll="0"/>
    <pivotField showAll="0">
      <items count="4">
        <item x="0"/>
        <item x="2"/>
        <item x="1"/>
        <item t="default"/>
      </items>
    </pivotField>
    <pivotField showAll="0"/>
    <pivotField showAll="0"/>
    <pivotField showAll="0">
      <items count="4">
        <item x="0"/>
        <item x="1"/>
        <item x="2"/>
        <item t="default"/>
      </items>
    </pivotField>
    <pivotField showAll="0"/>
  </pivotFields>
  <rowFields count="1">
    <field x="8"/>
  </rowFields>
  <rowItems count="5">
    <i>
      <x/>
    </i>
    <i>
      <x v="1"/>
    </i>
    <i>
      <x v="2"/>
    </i>
    <i>
      <x v="3"/>
    </i>
    <i t="grand">
      <x/>
    </i>
  </rowItems>
  <colItems count="1">
    <i/>
  </colItems>
  <dataFields count="1">
    <dataField name="Count of Patient_ID" fld="0" subtotal="count" baseField="0" baseItem="0"/>
  </dataFields>
  <formats count="6">
    <format dxfId="6152">
      <pivotArea type="all" dataOnly="0" outline="0" fieldPosition="0"/>
    </format>
    <format dxfId="6151">
      <pivotArea outline="0" collapsedLevelsAreSubtotals="1" fieldPosition="0"/>
    </format>
    <format dxfId="6150">
      <pivotArea field="8" type="button" dataOnly="0" labelOnly="1" outline="0" axis="axisRow" fieldPosition="0"/>
    </format>
    <format dxfId="6149">
      <pivotArea dataOnly="0" labelOnly="1" fieldPosition="0">
        <references count="1">
          <reference field="8" count="0"/>
        </references>
      </pivotArea>
    </format>
    <format dxfId="6148">
      <pivotArea dataOnly="0" labelOnly="1" grandRow="1" outline="0" fieldPosition="0"/>
    </format>
    <format dxfId="614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B3628DAF-944F-4BE6-A68D-26B7B3EE63D2}"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7:E83" firstHeaderRow="1" firstDataRow="2" firstDataCol="1"/>
  <pivotFields count="16">
    <pivotField dataField="1" showAll="0"/>
    <pivotField showAll="0"/>
    <pivotField showAll="0">
      <items count="5">
        <item x="1"/>
        <item x="2"/>
        <item x="0"/>
        <item x="3"/>
        <item t="default"/>
      </items>
    </pivotField>
    <pivotField showAll="0">
      <items count="4">
        <item x="1"/>
        <item x="0"/>
        <item x="2"/>
        <item t="default"/>
      </items>
    </pivotField>
    <pivotField showAll="0"/>
    <pivotField showAll="0"/>
    <pivotField axis="axisRow" showAll="0">
      <items count="5">
        <item x="1"/>
        <item x="0"/>
        <item x="3"/>
        <item x="2"/>
        <item t="default"/>
      </items>
    </pivotField>
    <pivotField showAll="0"/>
    <pivotField showAll="0"/>
    <pivotField showAll="0"/>
    <pivotField showAll="0"/>
    <pivotField axis="axisCol" showAll="0">
      <items count="4">
        <item x="0"/>
        <item x="2"/>
        <item x="1"/>
        <item t="default"/>
      </items>
    </pivotField>
    <pivotField showAll="0"/>
    <pivotField showAll="0"/>
    <pivotField showAll="0">
      <items count="4">
        <item x="0"/>
        <item x="1"/>
        <item x="2"/>
        <item t="default"/>
      </items>
    </pivotField>
    <pivotField showAll="0"/>
  </pivotFields>
  <rowFields count="1">
    <field x="6"/>
  </rowFields>
  <rowItems count="5">
    <i>
      <x/>
    </i>
    <i>
      <x v="1"/>
    </i>
    <i>
      <x v="2"/>
    </i>
    <i>
      <x v="3"/>
    </i>
    <i t="grand">
      <x/>
    </i>
  </rowItems>
  <colFields count="1">
    <field x="11"/>
  </colFields>
  <colItems count="4">
    <i>
      <x/>
    </i>
    <i>
      <x v="1"/>
    </i>
    <i>
      <x v="2"/>
    </i>
    <i t="grand">
      <x/>
    </i>
  </colItems>
  <dataFields count="1">
    <dataField name="Count of Patient_ID" fld="0" subtotal="count" baseField="0" baseItem="0"/>
  </dataFields>
  <formats count="12">
    <format dxfId="6164">
      <pivotArea outline="0" collapsedLevelsAreSubtotals="1" fieldPosition="0">
        <references count="1">
          <reference field="11" count="1" selected="0">
            <x v="0"/>
          </reference>
        </references>
      </pivotArea>
    </format>
    <format dxfId="6163">
      <pivotArea type="all" dataOnly="0" outline="0" fieldPosition="0"/>
    </format>
    <format dxfId="6162">
      <pivotArea outline="0" collapsedLevelsAreSubtotals="1" fieldPosition="0"/>
    </format>
    <format dxfId="6161">
      <pivotArea type="origin" dataOnly="0" labelOnly="1" outline="0" fieldPosition="0"/>
    </format>
    <format dxfId="6160">
      <pivotArea field="11" type="button" dataOnly="0" labelOnly="1" outline="0" axis="axisCol" fieldPosition="0"/>
    </format>
    <format dxfId="6159">
      <pivotArea type="topRight" dataOnly="0" labelOnly="1" outline="0" fieldPosition="0"/>
    </format>
    <format dxfId="6158">
      <pivotArea field="6" type="button" dataOnly="0" labelOnly="1" outline="0" axis="axisRow" fieldPosition="0"/>
    </format>
    <format dxfId="6157">
      <pivotArea dataOnly="0" labelOnly="1" fieldPosition="0">
        <references count="1">
          <reference field="6" count="0"/>
        </references>
      </pivotArea>
    </format>
    <format dxfId="6156">
      <pivotArea dataOnly="0" labelOnly="1" grandRow="1" outline="0" fieldPosition="0"/>
    </format>
    <format dxfId="6155">
      <pivotArea dataOnly="0" labelOnly="1" fieldPosition="0">
        <references count="1">
          <reference field="11" count="0"/>
        </references>
      </pivotArea>
    </format>
    <format dxfId="6154">
      <pivotArea dataOnly="0" labelOnly="1" grandCol="1" outline="0" fieldPosition="0"/>
    </format>
    <format dxfId="6153">
      <pivotArea dataOnly="0" fieldPosition="0">
        <references count="1">
          <reference field="6"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A790142B-B480-4FA4-8E90-A2BEA83702FF}"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12:Q17" firstHeaderRow="1" firstDataRow="1" firstDataCol="1"/>
  <pivotFields count="16">
    <pivotField dataField="1" showAll="0"/>
    <pivotField showAll="0"/>
    <pivotField axis="axisRow" showAll="0">
      <items count="5">
        <item x="1"/>
        <item x="0"/>
        <item x="3"/>
        <item x="2"/>
        <item t="default"/>
      </items>
    </pivotField>
    <pivotField showAll="0">
      <items count="4">
        <item x="1"/>
        <item x="0"/>
        <item x="2"/>
        <item t="default"/>
      </items>
    </pivotField>
    <pivotField showAll="0"/>
    <pivotField showAll="0"/>
    <pivotField showAll="0"/>
    <pivotField showAll="0"/>
    <pivotField showAll="0"/>
    <pivotField showAll="0"/>
    <pivotField showAll="0"/>
    <pivotField showAll="0">
      <items count="4">
        <item x="0"/>
        <item x="2"/>
        <item x="1"/>
        <item t="default"/>
      </items>
    </pivotField>
    <pivotField showAll="0"/>
    <pivotField showAll="0"/>
    <pivotField showAll="0">
      <items count="4">
        <item x="0"/>
        <item x="1"/>
        <item x="2"/>
        <item t="default"/>
      </items>
    </pivotField>
    <pivotField showAll="0"/>
  </pivotFields>
  <rowFields count="1">
    <field x="2"/>
  </rowFields>
  <rowItems count="5">
    <i>
      <x/>
    </i>
    <i>
      <x v="1"/>
    </i>
    <i>
      <x v="2"/>
    </i>
    <i>
      <x v="3"/>
    </i>
    <i t="grand">
      <x/>
    </i>
  </rowItems>
  <colItems count="1">
    <i/>
  </colItems>
  <dataFields count="1">
    <dataField name="Count of Patient_ID" fld="0" subtotal="count" baseField="0" baseItem="0"/>
  </dataFields>
  <formats count="6">
    <format dxfId="6170">
      <pivotArea type="all" dataOnly="0" outline="0" fieldPosition="0"/>
    </format>
    <format dxfId="6169">
      <pivotArea outline="0" collapsedLevelsAreSubtotals="1" fieldPosition="0"/>
    </format>
    <format dxfId="6168">
      <pivotArea field="2" type="button" dataOnly="0" labelOnly="1" outline="0" axis="axisRow" fieldPosition="0"/>
    </format>
    <format dxfId="6167">
      <pivotArea dataOnly="0" labelOnly="1" fieldPosition="0">
        <references count="1">
          <reference field="2" count="0"/>
        </references>
      </pivotArea>
    </format>
    <format dxfId="6166">
      <pivotArea dataOnly="0" labelOnly="1" grandRow="1" outline="0" fieldPosition="0"/>
    </format>
    <format dxfId="616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D005257E-FFD3-4D7D-8D70-27819B38F8DA}" name="PivotTable2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88:E98" firstHeaderRow="1" firstDataRow="2" firstDataCol="1"/>
  <pivotFields count="16">
    <pivotField dataField="1" showAll="0"/>
    <pivotField showAll="0"/>
    <pivotField showAll="0">
      <items count="5">
        <item x="1"/>
        <item x="2"/>
        <item x="0"/>
        <item x="3"/>
        <item t="default"/>
      </items>
    </pivotField>
    <pivotField showAll="0">
      <items count="4">
        <item x="1"/>
        <item x="0"/>
        <item x="2"/>
        <item t="default"/>
      </items>
    </pivotField>
    <pivotField showAll="0"/>
    <pivotField showAll="0"/>
    <pivotField showAll="0"/>
    <pivotField showAll="0"/>
    <pivotField showAll="0"/>
    <pivotField showAll="0"/>
    <pivotField showAll="0"/>
    <pivotField axis="axisCol" showAll="0">
      <items count="4">
        <item x="0"/>
        <item x="2"/>
        <item x="1"/>
        <item t="default"/>
      </items>
    </pivotField>
    <pivotField showAll="0"/>
    <pivotField showAll="0"/>
    <pivotField showAll="0">
      <items count="4">
        <item x="0"/>
        <item x="1"/>
        <item x="2"/>
        <item t="default"/>
      </items>
    </pivotField>
    <pivotField axis="axisRow" showAll="0">
      <items count="9">
        <item x="0"/>
        <item x="5"/>
        <item x="7"/>
        <item x="6"/>
        <item x="4"/>
        <item x="1"/>
        <item x="3"/>
        <item x="2"/>
        <item t="default"/>
      </items>
    </pivotField>
  </pivotFields>
  <rowFields count="1">
    <field x="15"/>
  </rowFields>
  <rowItems count="9">
    <i>
      <x/>
    </i>
    <i>
      <x v="1"/>
    </i>
    <i>
      <x v="2"/>
    </i>
    <i>
      <x v="3"/>
    </i>
    <i>
      <x v="4"/>
    </i>
    <i>
      <x v="5"/>
    </i>
    <i>
      <x v="6"/>
    </i>
    <i>
      <x v="7"/>
    </i>
    <i t="grand">
      <x/>
    </i>
  </rowItems>
  <colFields count="1">
    <field x="11"/>
  </colFields>
  <colItems count="4">
    <i>
      <x/>
    </i>
    <i>
      <x v="1"/>
    </i>
    <i>
      <x v="2"/>
    </i>
    <i t="grand">
      <x/>
    </i>
  </colItems>
  <dataFields count="1">
    <dataField name="Count of Patient_ID" fld="0" subtotal="count" baseField="0" baseItem="0"/>
  </dataFields>
  <formats count="12">
    <format dxfId="6182">
      <pivotArea type="all" dataOnly="0" outline="0" fieldPosition="0"/>
    </format>
    <format dxfId="6181">
      <pivotArea outline="0" collapsedLevelsAreSubtotals="1" fieldPosition="0"/>
    </format>
    <format dxfId="6180">
      <pivotArea type="origin" dataOnly="0" labelOnly="1" outline="0" fieldPosition="0"/>
    </format>
    <format dxfId="6179">
      <pivotArea field="11" type="button" dataOnly="0" labelOnly="1" outline="0" axis="axisCol" fieldPosition="0"/>
    </format>
    <format dxfId="6178">
      <pivotArea type="topRight" dataOnly="0" labelOnly="1" outline="0" fieldPosition="0"/>
    </format>
    <format dxfId="6177">
      <pivotArea field="15" type="button" dataOnly="0" labelOnly="1" outline="0" axis="axisRow" fieldPosition="0"/>
    </format>
    <format dxfId="6176">
      <pivotArea dataOnly="0" labelOnly="1" fieldPosition="0">
        <references count="1">
          <reference field="15" count="0"/>
        </references>
      </pivotArea>
    </format>
    <format dxfId="6175">
      <pivotArea dataOnly="0" labelOnly="1" grandRow="1" outline="0" fieldPosition="0"/>
    </format>
    <format dxfId="6174">
      <pivotArea dataOnly="0" labelOnly="1" fieldPosition="0">
        <references count="1">
          <reference field="11" count="0"/>
        </references>
      </pivotArea>
    </format>
    <format dxfId="6173">
      <pivotArea dataOnly="0" labelOnly="1" grandCol="1" outline="0" fieldPosition="0"/>
    </format>
    <format dxfId="6172">
      <pivotArea outline="0" collapsedLevelsAreSubtotals="1" fieldPosition="0">
        <references count="1">
          <reference field="11" count="1" selected="0">
            <x v="0"/>
          </reference>
        </references>
      </pivotArea>
    </format>
    <format dxfId="6171">
      <pivotArea outline="0" collapsedLevelsAreSubtotals="1" fieldPosition="0">
        <references count="1">
          <reference field="11" count="1" selected="0">
            <x v="1"/>
          </reference>
        </references>
      </pivotArea>
    </format>
  </formats>
  <chartFormats count="7">
    <chartFormat chart="3" format="0" series="1">
      <pivotArea type="data" outline="0" fieldPosition="0">
        <references count="2">
          <reference field="4294967294" count="1" selected="0">
            <x v="0"/>
          </reference>
          <reference field="11" count="1" selected="0">
            <x v="0"/>
          </reference>
        </references>
      </pivotArea>
    </chartFormat>
    <chartFormat chart="3" format="1" series="1">
      <pivotArea type="data" outline="0" fieldPosition="0">
        <references count="2">
          <reference field="4294967294" count="1" selected="0">
            <x v="0"/>
          </reference>
          <reference field="11" count="1" selected="0">
            <x v="1"/>
          </reference>
        </references>
      </pivotArea>
    </chartFormat>
    <chartFormat chart="3" format="2" series="1">
      <pivotArea type="data" outline="0" fieldPosition="0">
        <references count="2">
          <reference field="4294967294" count="1" selected="0">
            <x v="0"/>
          </reference>
          <reference field="11" count="1" selected="0">
            <x v="2"/>
          </reference>
        </references>
      </pivotArea>
    </chartFormat>
    <chartFormat chart="5" format="6" series="1">
      <pivotArea type="data" outline="0" fieldPosition="0">
        <references count="2">
          <reference field="4294967294" count="1" selected="0">
            <x v="0"/>
          </reference>
          <reference field="11" count="1" selected="0">
            <x v="0"/>
          </reference>
        </references>
      </pivotArea>
    </chartFormat>
    <chartFormat chart="5" format="7" series="1">
      <pivotArea type="data" outline="0" fieldPosition="0">
        <references count="2">
          <reference field="4294967294" count="1" selected="0">
            <x v="0"/>
          </reference>
          <reference field="11" count="1" selected="0">
            <x v="1"/>
          </reference>
        </references>
      </pivotArea>
    </chartFormat>
    <chartFormat chart="5" format="8" series="1">
      <pivotArea type="data" outline="0" fieldPosition="0">
        <references count="2">
          <reference field="4294967294" count="1" selected="0">
            <x v="0"/>
          </reference>
          <reference field="11" count="1" selected="0">
            <x v="2"/>
          </reference>
        </references>
      </pivotArea>
    </chartFormat>
    <chartFormat chart="5"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3F790DD-5AFA-440D-952C-3F475ED29686}" sourceName="Gender">
  <pivotTables>
    <pivotTable tabId="2" name="PivotTable24"/>
    <pivotTable tabId="2" name="PivotTable1"/>
    <pivotTable tabId="2" name="PivotTable10"/>
    <pivotTable tabId="2" name="PivotTable11"/>
    <pivotTable tabId="2" name="PivotTable12"/>
    <pivotTable tabId="2" name="PivotTable13"/>
    <pivotTable tabId="2" name="PivotTable14"/>
    <pivotTable tabId="2" name="PivotTable15"/>
    <pivotTable tabId="2" name="PivotTable16"/>
    <pivotTable tabId="2" name="PivotTable17"/>
    <pivotTable tabId="2" name="PivotTable18"/>
    <pivotTable tabId="2" name="PivotTable19"/>
    <pivotTable tabId="2" name="PivotTable2"/>
    <pivotTable tabId="2" name="PivotTable20"/>
    <pivotTable tabId="2" name="PivotTable21"/>
    <pivotTable tabId="2" name="PivotTable23"/>
    <pivotTable tabId="2" name="PivotTable27"/>
    <pivotTable tabId="2" name="PivotTable3"/>
    <pivotTable tabId="2" name="PivotTable4"/>
    <pivotTable tabId="2" name="PivotTable5"/>
    <pivotTable tabId="2" name="PivotTable6"/>
    <pivotTable tabId="2" name="PivotTable7"/>
    <pivotTable tabId="2" name="PivotTable8"/>
    <pivotTable tabId="2" name="PivotTable9"/>
  </pivotTables>
  <data>
    <tabular pivotCacheId="1025745854">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 xr10:uid="{3480A242-B6B7-497D-BDC6-1BDC36C57322}" sourceName="Diabetes">
  <pivotTables>
    <pivotTable tabId="2" name="PivotTable16"/>
    <pivotTable tabId="2" name="PivotTable1"/>
    <pivotTable tabId="2" name="PivotTable10"/>
    <pivotTable tabId="2" name="PivotTable11"/>
    <pivotTable tabId="2" name="PivotTable12"/>
    <pivotTable tabId="2" name="PivotTable13"/>
    <pivotTable tabId="2" name="PivotTable14"/>
    <pivotTable tabId="2" name="PivotTable15"/>
    <pivotTable tabId="2" name="PivotTable17"/>
    <pivotTable tabId="2" name="PivotTable18"/>
    <pivotTable tabId="2" name="PivotTable19"/>
    <pivotTable tabId="2" name="PivotTable2"/>
    <pivotTable tabId="2" name="PivotTable20"/>
    <pivotTable tabId="2" name="PivotTable21"/>
    <pivotTable tabId="2" name="PivotTable23"/>
    <pivotTable tabId="2" name="PivotTable24"/>
    <pivotTable tabId="2" name="PivotTable27"/>
    <pivotTable tabId="2" name="PivotTable3"/>
    <pivotTable tabId="2" name="PivotTable4"/>
    <pivotTable tabId="2" name="PivotTable5"/>
    <pivotTable tabId="2" name="PivotTable6"/>
    <pivotTable tabId="2" name="PivotTable7"/>
    <pivotTable tabId="2" name="PivotTable8"/>
    <pivotTable tabId="2" name="PivotTable9"/>
  </pivotTables>
  <data>
    <tabular pivotCacheId="1025745854">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moking_Status" xr10:uid="{8627A863-E50B-45BE-96BE-C8920DE6BF73}" sourceName="Smoking_Status">
  <pivotTables>
    <pivotTable tabId="2" name="PivotTable24"/>
    <pivotTable tabId="2" name="PivotTable1"/>
    <pivotTable tabId="2" name="PivotTable10"/>
    <pivotTable tabId="2" name="PivotTable11"/>
    <pivotTable tabId="2" name="PivotTable12"/>
    <pivotTable tabId="2" name="PivotTable13"/>
    <pivotTable tabId="2" name="PivotTable14"/>
    <pivotTable tabId="2" name="PivotTable15"/>
    <pivotTable tabId="2" name="PivotTable16"/>
    <pivotTable tabId="2" name="PivotTable17"/>
    <pivotTable tabId="2" name="PivotTable18"/>
    <pivotTable tabId="2" name="PivotTable19"/>
    <pivotTable tabId="2" name="PivotTable2"/>
    <pivotTable tabId="2" name="PivotTable20"/>
    <pivotTable tabId="2" name="PivotTable21"/>
    <pivotTable tabId="2" name="PivotTable23"/>
    <pivotTable tabId="2" name="PivotTable27"/>
    <pivotTable tabId="2" name="PivotTable3"/>
    <pivotTable tabId="2" name="PivotTable4"/>
    <pivotTable tabId="2" name="PivotTable5"/>
    <pivotTable tabId="2" name="PivotTable6"/>
    <pivotTable tabId="2" name="PivotTable7"/>
    <pivotTable tabId="2" name="PivotTable8"/>
    <pivotTable tabId="2" name="PivotTable9"/>
  </pivotTables>
  <data>
    <tabular pivotCacheId="1025745854">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09C0FB63-49A5-4924-9DDD-981E9826A90D}" sourceName="Age Group">
  <pivotTables>
    <pivotTable tabId="2" name="PivotTable24"/>
    <pivotTable tabId="2" name="PivotTable1"/>
    <pivotTable tabId="2" name="PivotTable10"/>
    <pivotTable tabId="2" name="PivotTable11"/>
    <pivotTable tabId="2" name="PivotTable12"/>
    <pivotTable tabId="2" name="PivotTable13"/>
    <pivotTable tabId="2" name="PivotTable14"/>
    <pivotTable tabId="2" name="PivotTable15"/>
    <pivotTable tabId="2" name="PivotTable16"/>
    <pivotTable tabId="2" name="PivotTable17"/>
    <pivotTable tabId="2" name="PivotTable18"/>
    <pivotTable tabId="2" name="PivotTable19"/>
    <pivotTable tabId="2" name="PivotTable2"/>
    <pivotTable tabId="2" name="PivotTable20"/>
    <pivotTable tabId="2" name="PivotTable21"/>
    <pivotTable tabId="2" name="PivotTable23"/>
    <pivotTable tabId="2" name="PivotTable27"/>
    <pivotTable tabId="2" name="PivotTable3"/>
    <pivotTable tabId="2" name="PivotTable4"/>
    <pivotTable tabId="2" name="PivotTable5"/>
    <pivotTable tabId="2" name="PivotTable6"/>
    <pivotTable tabId="2" name="PivotTable7"/>
    <pivotTable tabId="2" name="PivotTable8"/>
    <pivotTable tabId="2" name="PivotTable9"/>
  </pivotTables>
  <data>
    <tabular pivotCacheId="1025745854">
      <items count="4">
        <i x="1" s="1"/>
        <i x="2"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9C01BAC0-E2BD-40BA-BD01-BC013FAF7FE6}" cache="Slicer_Gender" caption="Gender" rowHeight="234950"/>
  <slicer name="Diabetes 1" xr10:uid="{C7E1CEA4-1816-4C10-AD79-D7DE4A92C2BF}" cache="Slicer_Diabetes" caption="Diabetes" rowHeight="234950"/>
  <slicer name="Smoking_Status 1" xr10:uid="{4D708482-2C71-4689-A0BA-3885961829EF}" cache="Slicer_Smoking_Status" caption="Smoking_Status" rowHeight="234950"/>
  <slicer name="Age Group 1" xr10:uid="{01149F66-6396-41CC-A2AE-FF557704F04C}" cache="Slicer_Age_Group" caption="Age Group"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rinterSettings" Target="../printerSettings/printerSettings1.bin"/><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EE4F8F-2368-4641-A565-A453115C1AA3}">
  <dimension ref="A1:U101"/>
  <sheetViews>
    <sheetView topLeftCell="D1" zoomScale="70" zoomScaleNormal="70" workbookViewId="0">
      <selection activeCell="B9" sqref="B9"/>
    </sheetView>
  </sheetViews>
  <sheetFormatPr defaultRowHeight="14.4" x14ac:dyDescent="0.3"/>
  <cols>
    <col min="1" max="1" width="11.77734375" bestFit="1" customWidth="1"/>
    <col min="2" max="2" width="6.5546875" customWidth="1"/>
    <col min="3" max="3" width="16.88671875" customWidth="1"/>
    <col min="4" max="4" width="18.44140625" style="3" customWidth="1"/>
    <col min="5" max="5" width="19" customWidth="1"/>
    <col min="6" max="6" width="21" customWidth="1"/>
    <col min="7" max="7" width="18.5546875" style="3" customWidth="1"/>
    <col min="8" max="8" width="14.109375" customWidth="1"/>
    <col min="9" max="10" width="22.33203125" customWidth="1"/>
    <col min="11" max="11" width="23.77734375" customWidth="1"/>
    <col min="12" max="12" width="16.44140625" customWidth="1"/>
    <col min="13" max="13" width="27.88671875" customWidth="1"/>
    <col min="14" max="14" width="26" customWidth="1"/>
    <col min="15" max="15" width="18.21875" customWidth="1"/>
    <col min="16" max="16" width="21.44140625" customWidth="1"/>
  </cols>
  <sheetData>
    <row r="1" spans="1:21" x14ac:dyDescent="0.3">
      <c r="A1" s="1" t="s">
        <v>0</v>
      </c>
      <c r="B1" s="1" t="s">
        <v>1</v>
      </c>
      <c r="C1" s="18" t="s">
        <v>168</v>
      </c>
      <c r="D1" s="2" t="s">
        <v>2</v>
      </c>
      <c r="E1" s="15" t="s">
        <v>163</v>
      </c>
      <c r="F1" s="15" t="s">
        <v>159</v>
      </c>
      <c r="G1" s="2" t="s">
        <v>158</v>
      </c>
      <c r="H1" s="1" t="s">
        <v>3</v>
      </c>
      <c r="I1" s="1" t="s">
        <v>4</v>
      </c>
      <c r="J1" s="31" t="s">
        <v>182</v>
      </c>
      <c r="K1" s="1" t="s">
        <v>5</v>
      </c>
      <c r="L1" s="1" t="s">
        <v>6</v>
      </c>
      <c r="M1" s="1" t="s">
        <v>7</v>
      </c>
      <c r="N1" s="1" t="s">
        <v>8</v>
      </c>
      <c r="O1" s="1" t="s">
        <v>9</v>
      </c>
      <c r="P1" s="1" t="s">
        <v>10</v>
      </c>
      <c r="Q1" s="6"/>
      <c r="R1" s="6"/>
      <c r="S1" s="6"/>
      <c r="T1" s="6"/>
    </row>
    <row r="2" spans="1:21" x14ac:dyDescent="0.3">
      <c r="A2" t="s">
        <v>11</v>
      </c>
      <c r="B2">
        <v>69</v>
      </c>
      <c r="C2" t="str">
        <f>IF(B2="","blank",IF(B2&lt;30,"Young",IF(B2&lt;50,"Adult","Senior")))</f>
        <v>Senior</v>
      </c>
      <c r="D2" s="3" t="s">
        <v>12</v>
      </c>
      <c r="E2">
        <v>0</v>
      </c>
      <c r="F2" t="s">
        <v>160</v>
      </c>
      <c r="G2" s="3" t="str">
        <f>VLOOKUP(H2,$E$2:$F$5,2,TRUE)</f>
        <v>Obese</v>
      </c>
      <c r="H2">
        <v>33.799999999999997</v>
      </c>
      <c r="I2" t="s">
        <v>13</v>
      </c>
      <c r="J2">
        <f>IF(I2="Normal",1,IF(I2="Prehypertension",2,IF(I2="Hypertension",3,"Blank")))</f>
        <v>3</v>
      </c>
      <c r="K2" t="s">
        <v>14</v>
      </c>
      <c r="L2" t="s">
        <v>15</v>
      </c>
      <c r="M2">
        <v>0</v>
      </c>
      <c r="N2" t="s">
        <v>16</v>
      </c>
      <c r="O2" t="s">
        <v>17</v>
      </c>
      <c r="P2">
        <v>0</v>
      </c>
      <c r="R2" s="32" t="s">
        <v>134</v>
      </c>
      <c r="S2" s="33"/>
      <c r="T2" s="33"/>
      <c r="U2" s="33"/>
    </row>
    <row r="3" spans="1:21" x14ac:dyDescent="0.3">
      <c r="A3" t="s">
        <v>18</v>
      </c>
      <c r="B3">
        <v>32</v>
      </c>
      <c r="C3" t="str">
        <f t="shared" ref="C3:C66" si="0">IF(B3="","blank",IF(B3&lt;30,"Young",IF(B3&lt;50,"Adult","Senior")))</f>
        <v>Adult</v>
      </c>
      <c r="D3" s="3" t="s">
        <v>19</v>
      </c>
      <c r="E3">
        <v>18.5</v>
      </c>
      <c r="F3" t="s">
        <v>14</v>
      </c>
      <c r="G3" s="3" t="str">
        <f t="shared" ref="G3:G66" si="1">VLOOKUP(H3,$E$2:$F$5,2,TRUE)</f>
        <v>Normal</v>
      </c>
      <c r="H3">
        <v>21.7</v>
      </c>
      <c r="I3" t="s">
        <v>13</v>
      </c>
      <c r="J3">
        <f t="shared" ref="J3:J66" si="2">IF(I3="Normal",1,IF(I3="Prehypertension",2,IF(I3="Hypertension",3,"Blank")))</f>
        <v>3</v>
      </c>
      <c r="K3" t="s">
        <v>14</v>
      </c>
      <c r="L3" t="s">
        <v>15</v>
      </c>
      <c r="M3">
        <v>0</v>
      </c>
      <c r="N3" t="s">
        <v>20</v>
      </c>
      <c r="O3" t="s">
        <v>21</v>
      </c>
      <c r="P3">
        <v>5</v>
      </c>
      <c r="R3" s="8" t="s">
        <v>125</v>
      </c>
      <c r="S3" s="8"/>
      <c r="T3" s="8"/>
      <c r="U3" s="8">
        <f>COUNTBLANK(B2:B101)</f>
        <v>9</v>
      </c>
    </row>
    <row r="4" spans="1:21" x14ac:dyDescent="0.3">
      <c r="A4" t="s">
        <v>22</v>
      </c>
      <c r="B4">
        <v>78</v>
      </c>
      <c r="C4" t="str">
        <f t="shared" si="0"/>
        <v>Senior</v>
      </c>
      <c r="D4" s="3" t="s">
        <v>12</v>
      </c>
      <c r="E4">
        <v>25</v>
      </c>
      <c r="F4" t="s">
        <v>161</v>
      </c>
      <c r="G4" s="3" t="str">
        <f t="shared" si="1"/>
        <v>Obese</v>
      </c>
      <c r="H4">
        <v>40</v>
      </c>
      <c r="I4" t="s">
        <v>13</v>
      </c>
      <c r="J4">
        <f t="shared" si="2"/>
        <v>3</v>
      </c>
      <c r="K4" t="s">
        <v>23</v>
      </c>
      <c r="L4" t="s">
        <v>15</v>
      </c>
      <c r="M4">
        <v>7</v>
      </c>
      <c r="N4" t="s">
        <v>20</v>
      </c>
      <c r="O4" t="s">
        <v>21</v>
      </c>
      <c r="P4" s="4"/>
      <c r="R4" s="8" t="s">
        <v>126</v>
      </c>
      <c r="S4" s="8"/>
      <c r="T4" s="8"/>
      <c r="U4" s="8">
        <f>COUNTBLANK(D2:D101)</f>
        <v>9</v>
      </c>
    </row>
    <row r="5" spans="1:21" x14ac:dyDescent="0.3">
      <c r="A5" t="s">
        <v>24</v>
      </c>
      <c r="B5">
        <v>38</v>
      </c>
      <c r="C5" t="str">
        <f t="shared" si="0"/>
        <v>Adult</v>
      </c>
      <c r="D5" s="3" t="s">
        <v>12</v>
      </c>
      <c r="E5">
        <v>30</v>
      </c>
      <c r="F5" t="s">
        <v>162</v>
      </c>
      <c r="G5" s="3" t="str">
        <f t="shared" si="1"/>
        <v>Normal</v>
      </c>
      <c r="H5">
        <v>24.2</v>
      </c>
      <c r="I5" t="s">
        <v>14</v>
      </c>
      <c r="J5">
        <f t="shared" si="2"/>
        <v>1</v>
      </c>
      <c r="K5" t="s">
        <v>25</v>
      </c>
      <c r="L5" t="s">
        <v>15</v>
      </c>
      <c r="M5">
        <v>1</v>
      </c>
      <c r="N5" t="s">
        <v>20</v>
      </c>
      <c r="O5" t="s">
        <v>21</v>
      </c>
      <c r="P5">
        <v>6</v>
      </c>
      <c r="R5" s="8" t="s">
        <v>3</v>
      </c>
      <c r="S5" s="8"/>
      <c r="T5" s="8"/>
      <c r="U5" s="8">
        <f>COUNTBLANK(H2:H101)</f>
        <v>11</v>
      </c>
    </row>
    <row r="6" spans="1:21" x14ac:dyDescent="0.3">
      <c r="A6" t="s">
        <v>26</v>
      </c>
      <c r="B6" s="4"/>
      <c r="C6" t="str">
        <f t="shared" si="0"/>
        <v>blank</v>
      </c>
      <c r="D6" s="3" t="s">
        <v>19</v>
      </c>
      <c r="G6" s="3" t="str">
        <f t="shared" si="1"/>
        <v>underweight</v>
      </c>
      <c r="H6" s="4"/>
      <c r="I6" t="s">
        <v>27</v>
      </c>
      <c r="J6">
        <f t="shared" si="2"/>
        <v>2</v>
      </c>
      <c r="K6" t="s">
        <v>25</v>
      </c>
      <c r="L6" t="s">
        <v>15</v>
      </c>
      <c r="M6">
        <v>11</v>
      </c>
      <c r="N6" t="s">
        <v>20</v>
      </c>
      <c r="O6" t="s">
        <v>21</v>
      </c>
      <c r="P6">
        <v>0</v>
      </c>
      <c r="R6" s="8" t="s">
        <v>127</v>
      </c>
      <c r="S6" s="8"/>
      <c r="T6" s="8"/>
      <c r="U6" s="8">
        <f>COUNTBLANK(I2:I101)</f>
        <v>5</v>
      </c>
    </row>
    <row r="7" spans="1:21" x14ac:dyDescent="0.3">
      <c r="A7" t="s">
        <v>28</v>
      </c>
      <c r="B7">
        <v>20</v>
      </c>
      <c r="C7" t="str">
        <f t="shared" si="0"/>
        <v>Young</v>
      </c>
      <c r="D7" s="3" t="s">
        <v>12</v>
      </c>
      <c r="G7" s="3" t="str">
        <f t="shared" si="1"/>
        <v>Overweight</v>
      </c>
      <c r="H7">
        <v>27.3</v>
      </c>
      <c r="I7" t="s">
        <v>27</v>
      </c>
      <c r="J7">
        <f t="shared" si="2"/>
        <v>2</v>
      </c>
      <c r="K7" t="s">
        <v>23</v>
      </c>
      <c r="L7" t="s">
        <v>15</v>
      </c>
      <c r="M7">
        <v>7</v>
      </c>
      <c r="N7" t="s">
        <v>20</v>
      </c>
      <c r="O7" t="s">
        <v>17</v>
      </c>
      <c r="P7">
        <v>5</v>
      </c>
      <c r="R7" s="8" t="s">
        <v>128</v>
      </c>
      <c r="S7" s="8"/>
      <c r="T7" s="8"/>
      <c r="U7" s="8">
        <f>COUNTBLANK(K2:K101)</f>
        <v>11</v>
      </c>
    </row>
    <row r="8" spans="1:21" x14ac:dyDescent="0.3">
      <c r="A8" t="s">
        <v>29</v>
      </c>
      <c r="B8">
        <v>39</v>
      </c>
      <c r="C8" t="str">
        <f t="shared" si="0"/>
        <v>Adult</v>
      </c>
      <c r="D8" s="3" t="s">
        <v>12</v>
      </c>
      <c r="G8" s="3" t="str">
        <f t="shared" si="1"/>
        <v>Normal</v>
      </c>
      <c r="H8">
        <v>19.2</v>
      </c>
      <c r="I8" t="s">
        <v>13</v>
      </c>
      <c r="J8">
        <f t="shared" si="2"/>
        <v>3</v>
      </c>
      <c r="K8" t="s">
        <v>23</v>
      </c>
      <c r="L8" t="s">
        <v>15</v>
      </c>
      <c r="M8">
        <v>6</v>
      </c>
      <c r="N8" t="s">
        <v>30</v>
      </c>
      <c r="O8" t="s">
        <v>17</v>
      </c>
      <c r="P8">
        <v>4</v>
      </c>
      <c r="R8" s="8" t="s">
        <v>129</v>
      </c>
      <c r="S8" s="8"/>
      <c r="T8" s="8"/>
      <c r="U8" s="8">
        <f>COUNTBLANK(L2:L101)</f>
        <v>10</v>
      </c>
    </row>
    <row r="9" spans="1:21" x14ac:dyDescent="0.3">
      <c r="A9" t="s">
        <v>31</v>
      </c>
      <c r="B9">
        <v>70</v>
      </c>
      <c r="C9" t="str">
        <f t="shared" si="0"/>
        <v>Senior</v>
      </c>
      <c r="D9" s="3" t="s">
        <v>12</v>
      </c>
      <c r="G9" s="3" t="str">
        <f t="shared" si="1"/>
        <v>Overweight</v>
      </c>
      <c r="H9">
        <v>25.9</v>
      </c>
      <c r="I9" t="s">
        <v>14</v>
      </c>
      <c r="J9">
        <f t="shared" si="2"/>
        <v>1</v>
      </c>
      <c r="K9" t="s">
        <v>25</v>
      </c>
      <c r="L9" t="s">
        <v>15</v>
      </c>
      <c r="M9">
        <v>9</v>
      </c>
      <c r="N9" t="s">
        <v>30</v>
      </c>
      <c r="O9" t="s">
        <v>17</v>
      </c>
      <c r="P9">
        <v>4</v>
      </c>
      <c r="R9" s="8" t="s">
        <v>130</v>
      </c>
      <c r="S9" s="8"/>
      <c r="T9" s="8"/>
      <c r="U9" s="8">
        <f>COUNTBLANK(M2:M101)</f>
        <v>10</v>
      </c>
    </row>
    <row r="10" spans="1:21" x14ac:dyDescent="0.3">
      <c r="A10" t="s">
        <v>32</v>
      </c>
      <c r="B10">
        <v>19</v>
      </c>
      <c r="C10" t="str">
        <f t="shared" si="0"/>
        <v>Young</v>
      </c>
      <c r="D10" s="5"/>
      <c r="G10" s="3" t="str">
        <f t="shared" si="1"/>
        <v>Obese</v>
      </c>
      <c r="H10">
        <v>32.1</v>
      </c>
      <c r="I10" t="s">
        <v>14</v>
      </c>
      <c r="J10">
        <f t="shared" si="2"/>
        <v>1</v>
      </c>
      <c r="K10" t="s">
        <v>14</v>
      </c>
      <c r="L10" t="s">
        <v>15</v>
      </c>
      <c r="M10">
        <v>9</v>
      </c>
      <c r="N10" t="s">
        <v>20</v>
      </c>
      <c r="O10" t="s">
        <v>21</v>
      </c>
      <c r="P10">
        <v>1</v>
      </c>
      <c r="R10" s="8" t="s">
        <v>131</v>
      </c>
      <c r="S10" s="8"/>
      <c r="T10" s="8"/>
      <c r="U10" s="8">
        <f>COUNTBLANK(N2:N101)</f>
        <v>15</v>
      </c>
    </row>
    <row r="11" spans="1:21" x14ac:dyDescent="0.3">
      <c r="A11" t="s">
        <v>33</v>
      </c>
      <c r="B11">
        <v>47</v>
      </c>
      <c r="C11" t="str">
        <f t="shared" si="0"/>
        <v>Adult</v>
      </c>
      <c r="D11" s="3" t="s">
        <v>12</v>
      </c>
      <c r="G11" s="3" t="str">
        <f t="shared" si="1"/>
        <v>Obese</v>
      </c>
      <c r="H11">
        <v>33.1</v>
      </c>
      <c r="I11" t="s">
        <v>14</v>
      </c>
      <c r="J11">
        <f t="shared" si="2"/>
        <v>1</v>
      </c>
      <c r="K11" t="s">
        <v>14</v>
      </c>
      <c r="L11" t="s">
        <v>15</v>
      </c>
      <c r="M11">
        <v>1</v>
      </c>
      <c r="N11" t="s">
        <v>20</v>
      </c>
      <c r="O11" t="s">
        <v>17</v>
      </c>
      <c r="P11">
        <v>5</v>
      </c>
      <c r="R11" s="8" t="s">
        <v>132</v>
      </c>
      <c r="S11" s="8"/>
      <c r="T11" s="8"/>
      <c r="U11" s="8">
        <f>COUNTBLANK(O2:O101)</f>
        <v>9</v>
      </c>
    </row>
    <row r="12" spans="1:21" x14ac:dyDescent="0.3">
      <c r="A12" t="s">
        <v>34</v>
      </c>
      <c r="B12">
        <v>55</v>
      </c>
      <c r="C12" t="str">
        <f t="shared" si="0"/>
        <v>Senior</v>
      </c>
      <c r="D12" s="3" t="s">
        <v>19</v>
      </c>
      <c r="G12" s="3" t="str">
        <f t="shared" si="1"/>
        <v>Overweight</v>
      </c>
      <c r="H12">
        <v>29.9</v>
      </c>
      <c r="I12" t="s">
        <v>14</v>
      </c>
      <c r="J12">
        <f t="shared" si="2"/>
        <v>1</v>
      </c>
      <c r="K12" t="s">
        <v>14</v>
      </c>
      <c r="L12" s="4"/>
      <c r="M12">
        <v>5</v>
      </c>
      <c r="N12" t="s">
        <v>20</v>
      </c>
      <c r="O12" s="4"/>
      <c r="P12">
        <v>3</v>
      </c>
      <c r="R12" s="8" t="s">
        <v>133</v>
      </c>
      <c r="S12" s="8"/>
      <c r="T12" s="8"/>
      <c r="U12" s="8">
        <f>COUNTBLANK(P2:P101)</f>
        <v>6</v>
      </c>
    </row>
    <row r="13" spans="1:21" x14ac:dyDescent="0.3">
      <c r="A13" t="s">
        <v>35</v>
      </c>
      <c r="B13">
        <v>19</v>
      </c>
      <c r="C13" t="str">
        <f t="shared" si="0"/>
        <v>Young</v>
      </c>
      <c r="D13" s="3" t="s">
        <v>19</v>
      </c>
      <c r="G13" s="3" t="str">
        <f t="shared" si="1"/>
        <v>Overweight</v>
      </c>
      <c r="H13">
        <v>28.1</v>
      </c>
      <c r="I13" t="s">
        <v>27</v>
      </c>
      <c r="J13">
        <f t="shared" si="2"/>
        <v>2</v>
      </c>
      <c r="K13" t="s">
        <v>14</v>
      </c>
      <c r="L13" t="s">
        <v>15</v>
      </c>
      <c r="M13">
        <v>5</v>
      </c>
      <c r="N13" t="s">
        <v>16</v>
      </c>
      <c r="O13" s="4"/>
      <c r="P13">
        <v>5</v>
      </c>
    </row>
    <row r="14" spans="1:21" x14ac:dyDescent="0.3">
      <c r="A14" t="s">
        <v>36</v>
      </c>
      <c r="B14">
        <v>81</v>
      </c>
      <c r="C14" t="str">
        <f t="shared" si="0"/>
        <v>Senior</v>
      </c>
      <c r="D14" s="3" t="s">
        <v>19</v>
      </c>
      <c r="G14" s="3" t="str">
        <f t="shared" si="1"/>
        <v>Obese</v>
      </c>
      <c r="H14">
        <v>30.4</v>
      </c>
      <c r="I14" t="s">
        <v>14</v>
      </c>
      <c r="J14">
        <f t="shared" si="2"/>
        <v>1</v>
      </c>
      <c r="K14" s="4"/>
      <c r="L14" s="4"/>
      <c r="M14">
        <v>2</v>
      </c>
      <c r="N14" t="s">
        <v>20</v>
      </c>
      <c r="O14" t="s">
        <v>17</v>
      </c>
      <c r="P14">
        <v>6</v>
      </c>
    </row>
    <row r="15" spans="1:21" x14ac:dyDescent="0.3">
      <c r="A15" t="s">
        <v>37</v>
      </c>
      <c r="B15">
        <v>77</v>
      </c>
      <c r="C15" t="str">
        <f t="shared" si="0"/>
        <v>Senior</v>
      </c>
      <c r="D15" s="3" t="s">
        <v>12</v>
      </c>
      <c r="G15" s="3" t="str">
        <f t="shared" si="1"/>
        <v>Obese</v>
      </c>
      <c r="H15">
        <v>31.2</v>
      </c>
      <c r="I15" t="s">
        <v>14</v>
      </c>
      <c r="J15">
        <f t="shared" si="2"/>
        <v>1</v>
      </c>
      <c r="K15" t="s">
        <v>25</v>
      </c>
      <c r="L15" t="s">
        <v>15</v>
      </c>
      <c r="M15">
        <v>10</v>
      </c>
      <c r="N15" t="s">
        <v>30</v>
      </c>
      <c r="O15" t="s">
        <v>17</v>
      </c>
      <c r="P15">
        <v>0</v>
      </c>
    </row>
    <row r="16" spans="1:21" x14ac:dyDescent="0.3">
      <c r="A16" t="s">
        <v>38</v>
      </c>
      <c r="B16">
        <v>38</v>
      </c>
      <c r="C16" t="str">
        <f t="shared" si="0"/>
        <v>Adult</v>
      </c>
      <c r="D16" s="3" t="s">
        <v>12</v>
      </c>
      <c r="G16" s="3" t="str">
        <f t="shared" si="1"/>
        <v>Normal</v>
      </c>
      <c r="H16">
        <v>20.2</v>
      </c>
      <c r="I16" t="s">
        <v>13</v>
      </c>
      <c r="J16">
        <f t="shared" si="2"/>
        <v>3</v>
      </c>
      <c r="K16" s="4"/>
      <c r="L16" t="s">
        <v>15</v>
      </c>
      <c r="M16">
        <v>1</v>
      </c>
      <c r="N16" t="s">
        <v>16</v>
      </c>
      <c r="O16" t="s">
        <v>21</v>
      </c>
      <c r="P16">
        <v>0</v>
      </c>
    </row>
    <row r="17" spans="1:16" x14ac:dyDescent="0.3">
      <c r="A17" t="s">
        <v>39</v>
      </c>
      <c r="B17">
        <v>50</v>
      </c>
      <c r="C17" t="str">
        <f t="shared" si="0"/>
        <v>Senior</v>
      </c>
      <c r="D17" s="3" t="s">
        <v>12</v>
      </c>
      <c r="G17" s="3" t="str">
        <f t="shared" si="1"/>
        <v>Overweight</v>
      </c>
      <c r="H17">
        <v>26.4</v>
      </c>
      <c r="I17" t="s">
        <v>13</v>
      </c>
      <c r="J17">
        <f t="shared" si="2"/>
        <v>3</v>
      </c>
      <c r="K17" t="s">
        <v>14</v>
      </c>
      <c r="L17" t="s">
        <v>15</v>
      </c>
      <c r="M17">
        <v>11</v>
      </c>
      <c r="N17" t="s">
        <v>30</v>
      </c>
      <c r="O17" t="s">
        <v>17</v>
      </c>
      <c r="P17">
        <v>6</v>
      </c>
    </row>
    <row r="18" spans="1:16" x14ac:dyDescent="0.3">
      <c r="A18" t="s">
        <v>40</v>
      </c>
      <c r="B18">
        <v>75</v>
      </c>
      <c r="C18" t="str">
        <f t="shared" si="0"/>
        <v>Senior</v>
      </c>
      <c r="D18" s="3" t="s">
        <v>19</v>
      </c>
      <c r="G18" s="3" t="str">
        <f t="shared" si="1"/>
        <v>Normal</v>
      </c>
      <c r="H18">
        <v>23.7</v>
      </c>
      <c r="I18" t="s">
        <v>14</v>
      </c>
      <c r="J18">
        <f t="shared" si="2"/>
        <v>1</v>
      </c>
      <c r="K18" t="s">
        <v>25</v>
      </c>
      <c r="L18" t="s">
        <v>15</v>
      </c>
      <c r="M18">
        <v>0</v>
      </c>
      <c r="N18" t="s">
        <v>16</v>
      </c>
      <c r="O18" t="s">
        <v>17</v>
      </c>
      <c r="P18" s="4"/>
    </row>
    <row r="19" spans="1:16" x14ac:dyDescent="0.3">
      <c r="A19" t="s">
        <v>41</v>
      </c>
      <c r="B19" s="4"/>
      <c r="C19" t="str">
        <f t="shared" si="0"/>
        <v>blank</v>
      </c>
      <c r="D19" s="3" t="s">
        <v>12</v>
      </c>
      <c r="G19" s="3" t="str">
        <f t="shared" si="1"/>
        <v>Obese</v>
      </c>
      <c r="H19">
        <v>35.799999999999997</v>
      </c>
      <c r="I19" t="s">
        <v>14</v>
      </c>
      <c r="J19">
        <f t="shared" si="2"/>
        <v>1</v>
      </c>
      <c r="K19" t="s">
        <v>14</v>
      </c>
      <c r="L19" t="s">
        <v>15</v>
      </c>
      <c r="M19">
        <v>5</v>
      </c>
      <c r="N19" t="s">
        <v>20</v>
      </c>
      <c r="O19" t="s">
        <v>17</v>
      </c>
      <c r="P19">
        <v>6</v>
      </c>
    </row>
    <row r="20" spans="1:16" x14ac:dyDescent="0.3">
      <c r="A20" t="s">
        <v>42</v>
      </c>
      <c r="B20">
        <v>66</v>
      </c>
      <c r="C20" t="str">
        <f t="shared" si="0"/>
        <v>Senior</v>
      </c>
      <c r="D20" s="3" t="s">
        <v>12</v>
      </c>
      <c r="G20" s="3" t="str">
        <f t="shared" si="1"/>
        <v>Overweight</v>
      </c>
      <c r="H20">
        <v>28.6</v>
      </c>
      <c r="I20" t="s">
        <v>27</v>
      </c>
      <c r="J20">
        <f t="shared" si="2"/>
        <v>2</v>
      </c>
      <c r="K20" t="s">
        <v>14</v>
      </c>
      <c r="L20" s="4"/>
      <c r="M20">
        <v>11</v>
      </c>
      <c r="N20" t="s">
        <v>30</v>
      </c>
      <c r="O20" t="s">
        <v>21</v>
      </c>
      <c r="P20">
        <v>2</v>
      </c>
    </row>
    <row r="21" spans="1:16" x14ac:dyDescent="0.3">
      <c r="A21" t="s">
        <v>43</v>
      </c>
      <c r="B21">
        <v>76</v>
      </c>
      <c r="C21" t="str">
        <f t="shared" si="0"/>
        <v>Senior</v>
      </c>
      <c r="D21" s="3" t="s">
        <v>19</v>
      </c>
      <c r="G21" s="3" t="str">
        <f t="shared" si="1"/>
        <v>Obese</v>
      </c>
      <c r="H21">
        <v>39.6</v>
      </c>
      <c r="I21" t="s">
        <v>14</v>
      </c>
      <c r="J21">
        <f t="shared" si="2"/>
        <v>1</v>
      </c>
      <c r="K21" t="s">
        <v>23</v>
      </c>
      <c r="L21" t="s">
        <v>15</v>
      </c>
      <c r="M21" s="4"/>
      <c r="N21" t="s">
        <v>30</v>
      </c>
      <c r="O21" t="s">
        <v>17</v>
      </c>
      <c r="P21">
        <v>6</v>
      </c>
    </row>
    <row r="22" spans="1:16" x14ac:dyDescent="0.3">
      <c r="A22" t="s">
        <v>44</v>
      </c>
      <c r="B22">
        <v>59</v>
      </c>
      <c r="C22" t="str">
        <f t="shared" si="0"/>
        <v>Senior</v>
      </c>
      <c r="D22" s="3" t="s">
        <v>12</v>
      </c>
      <c r="G22" s="3" t="str">
        <f t="shared" si="1"/>
        <v>Overweight</v>
      </c>
      <c r="H22">
        <v>27.1</v>
      </c>
      <c r="I22" t="s">
        <v>14</v>
      </c>
      <c r="J22">
        <f t="shared" si="2"/>
        <v>1</v>
      </c>
      <c r="K22" t="s">
        <v>25</v>
      </c>
      <c r="L22" t="s">
        <v>15</v>
      </c>
      <c r="M22">
        <v>10</v>
      </c>
      <c r="N22" t="s">
        <v>30</v>
      </c>
      <c r="O22" s="4"/>
      <c r="P22" s="4"/>
    </row>
    <row r="23" spans="1:16" x14ac:dyDescent="0.3">
      <c r="A23" t="s">
        <v>45</v>
      </c>
      <c r="B23">
        <v>77</v>
      </c>
      <c r="C23" t="str">
        <f t="shared" si="0"/>
        <v>Senior</v>
      </c>
      <c r="D23" s="3" t="s">
        <v>19</v>
      </c>
      <c r="G23" s="3" t="str">
        <f t="shared" si="1"/>
        <v>Obese</v>
      </c>
      <c r="H23">
        <v>36.1</v>
      </c>
      <c r="I23" t="s">
        <v>14</v>
      </c>
      <c r="J23">
        <f t="shared" si="2"/>
        <v>1</v>
      </c>
      <c r="K23" s="4"/>
      <c r="L23" t="s">
        <v>15</v>
      </c>
      <c r="M23">
        <v>8</v>
      </c>
      <c r="N23" t="s">
        <v>20</v>
      </c>
      <c r="O23" t="s">
        <v>17</v>
      </c>
      <c r="P23">
        <v>6</v>
      </c>
    </row>
    <row r="24" spans="1:16" x14ac:dyDescent="0.3">
      <c r="A24" t="s">
        <v>46</v>
      </c>
      <c r="B24">
        <v>32</v>
      </c>
      <c r="C24" t="str">
        <f t="shared" si="0"/>
        <v>Adult</v>
      </c>
      <c r="D24" s="5"/>
      <c r="G24" s="3" t="str">
        <f t="shared" si="1"/>
        <v>Obese</v>
      </c>
      <c r="H24">
        <v>35.700000000000003</v>
      </c>
      <c r="I24" t="s">
        <v>14</v>
      </c>
      <c r="J24">
        <f t="shared" si="2"/>
        <v>1</v>
      </c>
      <c r="K24" s="4"/>
      <c r="L24" t="s">
        <v>15</v>
      </c>
      <c r="M24">
        <v>0</v>
      </c>
      <c r="N24" s="4"/>
      <c r="O24" t="s">
        <v>17</v>
      </c>
      <c r="P24">
        <v>0</v>
      </c>
    </row>
    <row r="25" spans="1:16" x14ac:dyDescent="0.3">
      <c r="A25" t="s">
        <v>47</v>
      </c>
      <c r="B25">
        <v>79</v>
      </c>
      <c r="C25" t="str">
        <f t="shared" si="0"/>
        <v>Senior</v>
      </c>
      <c r="D25" s="3" t="s">
        <v>19</v>
      </c>
      <c r="G25" s="3" t="str">
        <f t="shared" si="1"/>
        <v>Normal</v>
      </c>
      <c r="H25">
        <v>21.7</v>
      </c>
      <c r="I25" t="s">
        <v>13</v>
      </c>
      <c r="J25">
        <f t="shared" si="2"/>
        <v>3</v>
      </c>
      <c r="K25" s="4"/>
      <c r="L25" t="s">
        <v>15</v>
      </c>
      <c r="M25">
        <v>6</v>
      </c>
      <c r="N25" t="s">
        <v>20</v>
      </c>
      <c r="O25" t="s">
        <v>17</v>
      </c>
      <c r="P25">
        <v>4</v>
      </c>
    </row>
    <row r="26" spans="1:16" x14ac:dyDescent="0.3">
      <c r="A26" t="s">
        <v>48</v>
      </c>
      <c r="B26">
        <v>79</v>
      </c>
      <c r="C26" t="str">
        <f t="shared" si="0"/>
        <v>Senior</v>
      </c>
      <c r="D26" s="5"/>
      <c r="G26" s="3" t="str">
        <f t="shared" si="1"/>
        <v>Overweight</v>
      </c>
      <c r="H26">
        <v>29.4</v>
      </c>
      <c r="I26" t="s">
        <v>14</v>
      </c>
      <c r="J26">
        <f t="shared" si="2"/>
        <v>1</v>
      </c>
      <c r="K26" t="s">
        <v>14</v>
      </c>
      <c r="L26" t="s">
        <v>49</v>
      </c>
      <c r="M26">
        <v>4</v>
      </c>
      <c r="N26" t="s">
        <v>30</v>
      </c>
      <c r="O26" t="s">
        <v>21</v>
      </c>
      <c r="P26">
        <v>0</v>
      </c>
    </row>
    <row r="27" spans="1:16" x14ac:dyDescent="0.3">
      <c r="A27" t="s">
        <v>50</v>
      </c>
      <c r="B27">
        <v>64</v>
      </c>
      <c r="C27" t="str">
        <f t="shared" si="0"/>
        <v>Senior</v>
      </c>
      <c r="D27" s="3" t="s">
        <v>12</v>
      </c>
      <c r="G27" s="3" t="str">
        <f t="shared" si="1"/>
        <v>Obese</v>
      </c>
      <c r="H27">
        <v>33.5</v>
      </c>
      <c r="I27" t="s">
        <v>13</v>
      </c>
      <c r="J27">
        <f t="shared" si="2"/>
        <v>3</v>
      </c>
      <c r="K27" t="s">
        <v>23</v>
      </c>
      <c r="L27" t="s">
        <v>15</v>
      </c>
      <c r="M27">
        <v>4</v>
      </c>
      <c r="N27" s="4"/>
      <c r="O27" s="4"/>
      <c r="P27">
        <v>1</v>
      </c>
    </row>
    <row r="28" spans="1:16" x14ac:dyDescent="0.3">
      <c r="A28" t="s">
        <v>51</v>
      </c>
      <c r="B28">
        <v>79</v>
      </c>
      <c r="C28" t="str">
        <f t="shared" si="0"/>
        <v>Senior</v>
      </c>
      <c r="D28" s="3" t="s">
        <v>12</v>
      </c>
      <c r="G28" s="3" t="str">
        <f t="shared" si="1"/>
        <v>underweight</v>
      </c>
      <c r="H28" s="4"/>
      <c r="I28" t="s">
        <v>27</v>
      </c>
      <c r="J28">
        <f t="shared" si="2"/>
        <v>2</v>
      </c>
      <c r="K28" t="s">
        <v>23</v>
      </c>
      <c r="L28" t="s">
        <v>15</v>
      </c>
      <c r="M28">
        <v>1</v>
      </c>
      <c r="N28" t="s">
        <v>30</v>
      </c>
      <c r="O28" t="s">
        <v>17</v>
      </c>
      <c r="P28">
        <v>3</v>
      </c>
    </row>
    <row r="29" spans="1:16" x14ac:dyDescent="0.3">
      <c r="A29" t="s">
        <v>52</v>
      </c>
      <c r="B29" s="4"/>
      <c r="C29" t="str">
        <f t="shared" si="0"/>
        <v>blank</v>
      </c>
      <c r="D29" s="3" t="s">
        <v>12</v>
      </c>
      <c r="G29" s="3" t="str">
        <f t="shared" si="1"/>
        <v>Overweight</v>
      </c>
      <c r="H29">
        <v>25.5</v>
      </c>
      <c r="I29" t="s">
        <v>14</v>
      </c>
      <c r="J29">
        <f t="shared" si="2"/>
        <v>1</v>
      </c>
      <c r="K29" t="s">
        <v>23</v>
      </c>
      <c r="L29" t="s">
        <v>15</v>
      </c>
      <c r="M29" s="4"/>
      <c r="N29" s="4"/>
      <c r="O29" t="s">
        <v>17</v>
      </c>
      <c r="P29">
        <v>0</v>
      </c>
    </row>
    <row r="30" spans="1:16" x14ac:dyDescent="0.3">
      <c r="A30" t="s">
        <v>53</v>
      </c>
      <c r="B30">
        <v>72</v>
      </c>
      <c r="C30" t="str">
        <f t="shared" si="0"/>
        <v>Senior</v>
      </c>
      <c r="D30" s="3" t="s">
        <v>12</v>
      </c>
      <c r="G30" s="3" t="str">
        <f t="shared" si="1"/>
        <v>Normal</v>
      </c>
      <c r="H30">
        <v>23.2</v>
      </c>
      <c r="I30" t="s">
        <v>27</v>
      </c>
      <c r="J30">
        <f t="shared" si="2"/>
        <v>2</v>
      </c>
      <c r="K30" s="4"/>
      <c r="L30" t="s">
        <v>15</v>
      </c>
      <c r="M30">
        <v>2</v>
      </c>
      <c r="N30" t="s">
        <v>16</v>
      </c>
      <c r="O30" t="s">
        <v>17</v>
      </c>
      <c r="P30">
        <v>4</v>
      </c>
    </row>
    <row r="31" spans="1:16" x14ac:dyDescent="0.3">
      <c r="A31" t="s">
        <v>54</v>
      </c>
      <c r="B31">
        <v>81</v>
      </c>
      <c r="C31" t="str">
        <f t="shared" si="0"/>
        <v>Senior</v>
      </c>
      <c r="D31" s="3" t="s">
        <v>12</v>
      </c>
      <c r="G31" s="3" t="str">
        <f t="shared" si="1"/>
        <v>Obese</v>
      </c>
      <c r="H31">
        <v>33.799999999999997</v>
      </c>
      <c r="I31" t="s">
        <v>14</v>
      </c>
      <c r="J31">
        <f t="shared" si="2"/>
        <v>1</v>
      </c>
      <c r="K31" t="s">
        <v>23</v>
      </c>
      <c r="L31" t="s">
        <v>15</v>
      </c>
      <c r="M31">
        <v>6</v>
      </c>
      <c r="N31" t="s">
        <v>20</v>
      </c>
      <c r="O31" t="s">
        <v>17</v>
      </c>
      <c r="P31">
        <v>1</v>
      </c>
    </row>
    <row r="32" spans="1:16" x14ac:dyDescent="0.3">
      <c r="A32" t="s">
        <v>55</v>
      </c>
      <c r="B32">
        <v>20</v>
      </c>
      <c r="C32" t="str">
        <f t="shared" si="0"/>
        <v>Young</v>
      </c>
      <c r="D32" s="3" t="s">
        <v>12</v>
      </c>
      <c r="G32" s="3" t="str">
        <f t="shared" si="1"/>
        <v>Obese</v>
      </c>
      <c r="H32">
        <v>35.9</v>
      </c>
      <c r="I32" t="s">
        <v>27</v>
      </c>
      <c r="J32">
        <f t="shared" si="2"/>
        <v>2</v>
      </c>
      <c r="K32" t="s">
        <v>14</v>
      </c>
      <c r="L32" t="s">
        <v>15</v>
      </c>
      <c r="M32">
        <v>5</v>
      </c>
      <c r="N32" t="s">
        <v>20</v>
      </c>
      <c r="O32" t="s">
        <v>17</v>
      </c>
      <c r="P32">
        <v>0</v>
      </c>
    </row>
    <row r="33" spans="1:16" x14ac:dyDescent="0.3">
      <c r="A33" t="s">
        <v>56</v>
      </c>
      <c r="B33">
        <v>68</v>
      </c>
      <c r="C33" t="str">
        <f t="shared" si="0"/>
        <v>Senior</v>
      </c>
      <c r="D33" s="3" t="s">
        <v>19</v>
      </c>
      <c r="G33" s="3" t="str">
        <f t="shared" si="1"/>
        <v>Overweight</v>
      </c>
      <c r="H33">
        <v>26</v>
      </c>
      <c r="I33" t="s">
        <v>14</v>
      </c>
      <c r="J33">
        <f t="shared" si="2"/>
        <v>1</v>
      </c>
      <c r="K33" t="s">
        <v>14</v>
      </c>
      <c r="L33" t="s">
        <v>49</v>
      </c>
      <c r="M33">
        <v>11</v>
      </c>
      <c r="N33" s="4"/>
      <c r="O33" t="s">
        <v>17</v>
      </c>
      <c r="P33">
        <v>2</v>
      </c>
    </row>
    <row r="34" spans="1:16" x14ac:dyDescent="0.3">
      <c r="A34" t="s">
        <v>57</v>
      </c>
      <c r="B34">
        <v>24</v>
      </c>
      <c r="C34" t="str">
        <f t="shared" si="0"/>
        <v>Young</v>
      </c>
      <c r="D34" s="3" t="s">
        <v>12</v>
      </c>
      <c r="G34" s="3" t="str">
        <f t="shared" si="1"/>
        <v>Normal</v>
      </c>
      <c r="H34">
        <v>20.6</v>
      </c>
      <c r="I34" t="s">
        <v>14</v>
      </c>
      <c r="J34">
        <f t="shared" si="2"/>
        <v>1</v>
      </c>
      <c r="K34" t="s">
        <v>14</v>
      </c>
      <c r="L34" t="s">
        <v>15</v>
      </c>
      <c r="M34" s="4"/>
      <c r="N34" t="s">
        <v>30</v>
      </c>
      <c r="O34" t="s">
        <v>17</v>
      </c>
      <c r="P34">
        <v>6</v>
      </c>
    </row>
    <row r="35" spans="1:16" x14ac:dyDescent="0.3">
      <c r="A35" t="s">
        <v>58</v>
      </c>
      <c r="B35">
        <v>38</v>
      </c>
      <c r="C35" t="str">
        <f t="shared" si="0"/>
        <v>Adult</v>
      </c>
      <c r="D35" s="3" t="s">
        <v>19</v>
      </c>
      <c r="G35" s="3" t="str">
        <f t="shared" si="1"/>
        <v>Obese</v>
      </c>
      <c r="H35">
        <v>38.700000000000003</v>
      </c>
      <c r="I35" t="s">
        <v>27</v>
      </c>
      <c r="J35">
        <f t="shared" si="2"/>
        <v>2</v>
      </c>
      <c r="K35" t="s">
        <v>14</v>
      </c>
      <c r="L35" t="s">
        <v>15</v>
      </c>
      <c r="M35">
        <v>5</v>
      </c>
      <c r="N35" t="s">
        <v>20</v>
      </c>
      <c r="O35" t="s">
        <v>17</v>
      </c>
      <c r="P35">
        <v>3</v>
      </c>
    </row>
    <row r="36" spans="1:16" x14ac:dyDescent="0.3">
      <c r="A36" t="s">
        <v>59</v>
      </c>
      <c r="B36">
        <v>56</v>
      </c>
      <c r="C36" t="str">
        <f t="shared" si="0"/>
        <v>Senior</v>
      </c>
      <c r="D36" s="3" t="s">
        <v>12</v>
      </c>
      <c r="G36" s="3" t="str">
        <f t="shared" si="1"/>
        <v>Overweight</v>
      </c>
      <c r="H36">
        <v>27</v>
      </c>
      <c r="I36" t="s">
        <v>14</v>
      </c>
      <c r="J36">
        <f t="shared" si="2"/>
        <v>1</v>
      </c>
      <c r="K36" s="4"/>
      <c r="L36" s="4"/>
      <c r="M36" s="4"/>
      <c r="N36" s="4"/>
      <c r="O36" t="s">
        <v>17</v>
      </c>
      <c r="P36">
        <v>0</v>
      </c>
    </row>
    <row r="37" spans="1:16" x14ac:dyDescent="0.3">
      <c r="A37" t="s">
        <v>60</v>
      </c>
      <c r="B37">
        <v>35</v>
      </c>
      <c r="C37" t="str">
        <f t="shared" si="0"/>
        <v>Adult</v>
      </c>
      <c r="D37" s="5"/>
      <c r="G37" s="3" t="str">
        <f t="shared" si="1"/>
        <v>Overweight</v>
      </c>
      <c r="H37">
        <v>29.6</v>
      </c>
      <c r="I37" t="s">
        <v>14</v>
      </c>
      <c r="J37">
        <f t="shared" si="2"/>
        <v>1</v>
      </c>
      <c r="K37" t="s">
        <v>14</v>
      </c>
      <c r="L37" t="s">
        <v>15</v>
      </c>
      <c r="M37">
        <v>1</v>
      </c>
      <c r="N37" t="s">
        <v>16</v>
      </c>
      <c r="O37" t="s">
        <v>17</v>
      </c>
      <c r="P37">
        <v>1</v>
      </c>
    </row>
    <row r="38" spans="1:16" x14ac:dyDescent="0.3">
      <c r="A38" t="s">
        <v>61</v>
      </c>
      <c r="B38">
        <v>21</v>
      </c>
      <c r="C38" t="str">
        <f t="shared" si="0"/>
        <v>Young</v>
      </c>
      <c r="D38" s="3" t="s">
        <v>12</v>
      </c>
      <c r="G38" s="3" t="str">
        <f t="shared" si="1"/>
        <v>Obese</v>
      </c>
      <c r="H38">
        <v>36.5</v>
      </c>
      <c r="I38" s="4"/>
      <c r="J38" t="str">
        <f t="shared" si="2"/>
        <v>Blank</v>
      </c>
      <c r="K38" t="s">
        <v>23</v>
      </c>
      <c r="L38" t="s">
        <v>49</v>
      </c>
      <c r="M38">
        <v>1</v>
      </c>
      <c r="N38" t="s">
        <v>20</v>
      </c>
      <c r="O38" t="s">
        <v>17</v>
      </c>
      <c r="P38">
        <v>2</v>
      </c>
    </row>
    <row r="39" spans="1:16" x14ac:dyDescent="0.3">
      <c r="A39" t="s">
        <v>62</v>
      </c>
      <c r="B39">
        <v>77</v>
      </c>
      <c r="C39" t="str">
        <f t="shared" si="0"/>
        <v>Senior</v>
      </c>
      <c r="D39" s="3" t="s">
        <v>19</v>
      </c>
      <c r="G39" s="3" t="str">
        <f t="shared" si="1"/>
        <v>Obese</v>
      </c>
      <c r="H39">
        <v>33</v>
      </c>
      <c r="I39" t="s">
        <v>14</v>
      </c>
      <c r="J39">
        <f t="shared" si="2"/>
        <v>1</v>
      </c>
      <c r="K39" t="s">
        <v>14</v>
      </c>
      <c r="L39" t="s">
        <v>49</v>
      </c>
      <c r="M39">
        <v>10</v>
      </c>
      <c r="N39" t="s">
        <v>30</v>
      </c>
      <c r="O39" t="s">
        <v>17</v>
      </c>
      <c r="P39">
        <v>5</v>
      </c>
    </row>
    <row r="40" spans="1:16" x14ac:dyDescent="0.3">
      <c r="A40" t="s">
        <v>63</v>
      </c>
      <c r="B40">
        <v>31</v>
      </c>
      <c r="C40" t="str">
        <f t="shared" si="0"/>
        <v>Adult</v>
      </c>
      <c r="D40" s="3" t="s">
        <v>19</v>
      </c>
      <c r="G40" s="3" t="str">
        <f t="shared" si="1"/>
        <v>underweight</v>
      </c>
      <c r="H40" s="4"/>
      <c r="I40" s="4"/>
      <c r="J40" t="str">
        <f t="shared" si="2"/>
        <v>Blank</v>
      </c>
      <c r="K40" t="s">
        <v>14</v>
      </c>
      <c r="L40" t="s">
        <v>15</v>
      </c>
      <c r="M40">
        <v>2</v>
      </c>
      <c r="N40" t="s">
        <v>20</v>
      </c>
      <c r="O40" t="s">
        <v>17</v>
      </c>
      <c r="P40">
        <v>1</v>
      </c>
    </row>
    <row r="41" spans="1:16" x14ac:dyDescent="0.3">
      <c r="A41" t="s">
        <v>64</v>
      </c>
      <c r="B41">
        <v>26</v>
      </c>
      <c r="C41" t="str">
        <f t="shared" si="0"/>
        <v>Young</v>
      </c>
      <c r="D41" s="5"/>
      <c r="G41" s="3" t="str">
        <f t="shared" si="1"/>
        <v>Normal</v>
      </c>
      <c r="H41">
        <v>23</v>
      </c>
      <c r="I41" t="s">
        <v>14</v>
      </c>
      <c r="J41">
        <f t="shared" si="2"/>
        <v>1</v>
      </c>
      <c r="K41" t="s">
        <v>14</v>
      </c>
      <c r="L41" t="s">
        <v>15</v>
      </c>
      <c r="M41">
        <v>1</v>
      </c>
      <c r="N41" t="s">
        <v>20</v>
      </c>
      <c r="O41" t="s">
        <v>17</v>
      </c>
      <c r="P41">
        <v>6</v>
      </c>
    </row>
    <row r="42" spans="1:16" x14ac:dyDescent="0.3">
      <c r="A42" t="s">
        <v>65</v>
      </c>
      <c r="B42">
        <v>70</v>
      </c>
      <c r="C42" t="str">
        <f t="shared" si="0"/>
        <v>Senior</v>
      </c>
      <c r="D42" s="3" t="s">
        <v>19</v>
      </c>
      <c r="G42" s="3" t="str">
        <f t="shared" si="1"/>
        <v>Obese</v>
      </c>
      <c r="H42">
        <v>30.1</v>
      </c>
      <c r="I42" t="s">
        <v>27</v>
      </c>
      <c r="J42">
        <f t="shared" si="2"/>
        <v>2</v>
      </c>
      <c r="K42" t="s">
        <v>25</v>
      </c>
      <c r="L42" t="s">
        <v>15</v>
      </c>
      <c r="M42">
        <v>3</v>
      </c>
      <c r="N42" s="4"/>
      <c r="O42" s="4"/>
      <c r="P42">
        <v>1</v>
      </c>
    </row>
    <row r="43" spans="1:16" x14ac:dyDescent="0.3">
      <c r="A43" t="s">
        <v>66</v>
      </c>
      <c r="B43">
        <v>19</v>
      </c>
      <c r="C43" t="str">
        <f t="shared" si="0"/>
        <v>Young</v>
      </c>
      <c r="D43" s="3" t="s">
        <v>12</v>
      </c>
      <c r="G43" s="3" t="str">
        <f t="shared" si="1"/>
        <v>Obese</v>
      </c>
      <c r="H43">
        <v>33.5</v>
      </c>
      <c r="I43" t="s">
        <v>27</v>
      </c>
      <c r="J43">
        <f t="shared" si="2"/>
        <v>2</v>
      </c>
      <c r="K43" t="s">
        <v>23</v>
      </c>
      <c r="L43" t="s">
        <v>15</v>
      </c>
      <c r="M43">
        <v>8</v>
      </c>
      <c r="N43" t="s">
        <v>20</v>
      </c>
      <c r="O43" t="s">
        <v>21</v>
      </c>
      <c r="P43">
        <v>2</v>
      </c>
    </row>
    <row r="44" spans="1:16" x14ac:dyDescent="0.3">
      <c r="A44" t="s">
        <v>67</v>
      </c>
      <c r="B44">
        <v>77</v>
      </c>
      <c r="C44" t="str">
        <f t="shared" si="0"/>
        <v>Senior</v>
      </c>
      <c r="D44" s="3" t="s">
        <v>19</v>
      </c>
      <c r="G44" s="3" t="str">
        <f t="shared" si="1"/>
        <v>Normal</v>
      </c>
      <c r="H44">
        <v>23.4</v>
      </c>
      <c r="I44" t="s">
        <v>27</v>
      </c>
      <c r="J44">
        <f t="shared" si="2"/>
        <v>2</v>
      </c>
      <c r="K44" t="s">
        <v>14</v>
      </c>
      <c r="L44" t="s">
        <v>15</v>
      </c>
      <c r="M44" s="4"/>
      <c r="N44" t="s">
        <v>30</v>
      </c>
      <c r="O44" t="s">
        <v>21</v>
      </c>
      <c r="P44">
        <v>1</v>
      </c>
    </row>
    <row r="45" spans="1:16" x14ac:dyDescent="0.3">
      <c r="A45" t="s">
        <v>68</v>
      </c>
      <c r="B45">
        <v>61</v>
      </c>
      <c r="C45" t="str">
        <f t="shared" si="0"/>
        <v>Senior</v>
      </c>
      <c r="D45" s="3" t="s">
        <v>12</v>
      </c>
      <c r="G45" s="3" t="str">
        <f t="shared" si="1"/>
        <v>Normal</v>
      </c>
      <c r="H45">
        <v>22.3</v>
      </c>
      <c r="I45" t="s">
        <v>14</v>
      </c>
      <c r="J45">
        <f t="shared" si="2"/>
        <v>1</v>
      </c>
      <c r="K45" t="s">
        <v>25</v>
      </c>
      <c r="L45" t="s">
        <v>15</v>
      </c>
      <c r="M45">
        <v>0</v>
      </c>
      <c r="N45" s="4"/>
      <c r="O45" t="s">
        <v>17</v>
      </c>
      <c r="P45">
        <v>2</v>
      </c>
    </row>
    <row r="46" spans="1:16" x14ac:dyDescent="0.3">
      <c r="A46" t="s">
        <v>69</v>
      </c>
      <c r="B46">
        <v>25</v>
      </c>
      <c r="C46" t="str">
        <f t="shared" si="0"/>
        <v>Young</v>
      </c>
      <c r="D46" s="3" t="s">
        <v>12</v>
      </c>
      <c r="G46" s="3" t="str">
        <f t="shared" si="1"/>
        <v>Obese</v>
      </c>
      <c r="H46">
        <v>39.6</v>
      </c>
      <c r="I46" t="s">
        <v>14</v>
      </c>
      <c r="J46">
        <f t="shared" si="2"/>
        <v>1</v>
      </c>
      <c r="K46" t="s">
        <v>14</v>
      </c>
      <c r="L46" t="s">
        <v>15</v>
      </c>
      <c r="M46">
        <v>7</v>
      </c>
      <c r="N46" t="s">
        <v>30</v>
      </c>
      <c r="O46" s="4"/>
      <c r="P46">
        <v>0</v>
      </c>
    </row>
    <row r="47" spans="1:16" x14ac:dyDescent="0.3">
      <c r="A47" t="s">
        <v>70</v>
      </c>
      <c r="B47">
        <v>64</v>
      </c>
      <c r="C47" t="str">
        <f t="shared" si="0"/>
        <v>Senior</v>
      </c>
      <c r="D47" s="3" t="s">
        <v>19</v>
      </c>
      <c r="G47" s="3" t="str">
        <f t="shared" si="1"/>
        <v>Overweight</v>
      </c>
      <c r="H47">
        <v>29.6</v>
      </c>
      <c r="I47" t="s">
        <v>13</v>
      </c>
      <c r="J47">
        <f t="shared" si="2"/>
        <v>3</v>
      </c>
      <c r="K47" t="s">
        <v>14</v>
      </c>
      <c r="L47" t="s">
        <v>15</v>
      </c>
      <c r="M47">
        <v>11</v>
      </c>
      <c r="N47" t="s">
        <v>30</v>
      </c>
      <c r="O47" t="s">
        <v>17</v>
      </c>
      <c r="P47">
        <v>2</v>
      </c>
    </row>
    <row r="48" spans="1:16" x14ac:dyDescent="0.3">
      <c r="A48" t="s">
        <v>71</v>
      </c>
      <c r="B48">
        <v>52</v>
      </c>
      <c r="C48" t="str">
        <f t="shared" si="0"/>
        <v>Senior</v>
      </c>
      <c r="D48" s="3" t="s">
        <v>19</v>
      </c>
      <c r="G48" s="3" t="str">
        <f t="shared" si="1"/>
        <v>Normal</v>
      </c>
      <c r="H48">
        <v>24.1</v>
      </c>
      <c r="I48" t="s">
        <v>13</v>
      </c>
      <c r="J48">
        <f t="shared" si="2"/>
        <v>3</v>
      </c>
      <c r="K48" t="s">
        <v>14</v>
      </c>
      <c r="L48" t="s">
        <v>49</v>
      </c>
      <c r="M48" s="4"/>
      <c r="N48" t="s">
        <v>30</v>
      </c>
      <c r="O48" t="s">
        <v>17</v>
      </c>
      <c r="P48">
        <v>2</v>
      </c>
    </row>
    <row r="49" spans="1:16" x14ac:dyDescent="0.3">
      <c r="A49" t="s">
        <v>72</v>
      </c>
      <c r="B49">
        <v>53</v>
      </c>
      <c r="C49" t="str">
        <f t="shared" si="0"/>
        <v>Senior</v>
      </c>
      <c r="D49" s="3" t="s">
        <v>19</v>
      </c>
      <c r="G49" s="3" t="str">
        <f t="shared" si="1"/>
        <v>Obese</v>
      </c>
      <c r="H49">
        <v>39.9</v>
      </c>
      <c r="I49" t="s">
        <v>13</v>
      </c>
      <c r="J49">
        <f t="shared" si="2"/>
        <v>3</v>
      </c>
      <c r="K49" t="s">
        <v>14</v>
      </c>
      <c r="L49" s="4"/>
      <c r="M49">
        <v>9</v>
      </c>
      <c r="N49" t="s">
        <v>30</v>
      </c>
      <c r="O49" t="s">
        <v>17</v>
      </c>
      <c r="P49">
        <v>3</v>
      </c>
    </row>
    <row r="50" spans="1:16" x14ac:dyDescent="0.3">
      <c r="A50" t="s">
        <v>73</v>
      </c>
      <c r="B50">
        <v>67</v>
      </c>
      <c r="C50" t="str">
        <f t="shared" si="0"/>
        <v>Senior</v>
      </c>
      <c r="D50" s="3" t="s">
        <v>19</v>
      </c>
      <c r="G50" s="3" t="str">
        <f t="shared" si="1"/>
        <v>Obese</v>
      </c>
      <c r="H50">
        <v>39.299999999999997</v>
      </c>
      <c r="I50" t="s">
        <v>14</v>
      </c>
      <c r="J50">
        <f t="shared" si="2"/>
        <v>1</v>
      </c>
      <c r="K50" s="4"/>
      <c r="L50" t="s">
        <v>49</v>
      </c>
      <c r="M50">
        <v>2</v>
      </c>
      <c r="N50" t="s">
        <v>30</v>
      </c>
      <c r="O50" t="s">
        <v>21</v>
      </c>
      <c r="P50">
        <v>2</v>
      </c>
    </row>
    <row r="51" spans="1:16" x14ac:dyDescent="0.3">
      <c r="A51" t="s">
        <v>74</v>
      </c>
      <c r="B51">
        <v>21</v>
      </c>
      <c r="C51" t="str">
        <f t="shared" si="0"/>
        <v>Young</v>
      </c>
      <c r="D51" s="5"/>
      <c r="G51" s="3" t="str">
        <f t="shared" si="1"/>
        <v>Obese</v>
      </c>
      <c r="H51">
        <v>30.5</v>
      </c>
      <c r="I51" s="4"/>
      <c r="J51" t="str">
        <f t="shared" si="2"/>
        <v>Blank</v>
      </c>
      <c r="K51" t="s">
        <v>23</v>
      </c>
      <c r="L51" t="s">
        <v>15</v>
      </c>
      <c r="M51" s="4"/>
      <c r="N51" t="s">
        <v>20</v>
      </c>
      <c r="O51" t="s">
        <v>17</v>
      </c>
      <c r="P51">
        <v>2</v>
      </c>
    </row>
    <row r="52" spans="1:16" x14ac:dyDescent="0.3">
      <c r="A52" t="s">
        <v>75</v>
      </c>
      <c r="B52">
        <v>19</v>
      </c>
      <c r="C52" t="str">
        <f t="shared" si="0"/>
        <v>Young</v>
      </c>
      <c r="D52" s="3" t="s">
        <v>19</v>
      </c>
      <c r="G52" s="3" t="str">
        <f t="shared" si="1"/>
        <v>Obese</v>
      </c>
      <c r="H52">
        <v>37.5</v>
      </c>
      <c r="I52" t="s">
        <v>14</v>
      </c>
      <c r="J52">
        <f t="shared" si="2"/>
        <v>1</v>
      </c>
      <c r="K52" s="4"/>
      <c r="L52" t="s">
        <v>49</v>
      </c>
      <c r="M52">
        <v>4</v>
      </c>
      <c r="N52" t="s">
        <v>20</v>
      </c>
      <c r="O52" t="s">
        <v>17</v>
      </c>
      <c r="P52">
        <v>5</v>
      </c>
    </row>
    <row r="53" spans="1:16" x14ac:dyDescent="0.3">
      <c r="A53" t="s">
        <v>76</v>
      </c>
      <c r="B53" s="4"/>
      <c r="C53" t="str">
        <f t="shared" si="0"/>
        <v>blank</v>
      </c>
      <c r="D53" s="3" t="s">
        <v>19</v>
      </c>
      <c r="G53" s="3" t="str">
        <f t="shared" si="1"/>
        <v>Normal</v>
      </c>
      <c r="H53">
        <v>22.6</v>
      </c>
      <c r="I53" t="s">
        <v>27</v>
      </c>
      <c r="J53">
        <f t="shared" si="2"/>
        <v>2</v>
      </c>
      <c r="K53" t="s">
        <v>14</v>
      </c>
      <c r="L53" t="s">
        <v>15</v>
      </c>
      <c r="M53">
        <v>3</v>
      </c>
      <c r="N53" t="s">
        <v>16</v>
      </c>
      <c r="O53" t="s">
        <v>17</v>
      </c>
      <c r="P53">
        <v>0</v>
      </c>
    </row>
    <row r="54" spans="1:16" x14ac:dyDescent="0.3">
      <c r="A54" t="s">
        <v>77</v>
      </c>
      <c r="B54">
        <v>71</v>
      </c>
      <c r="C54" t="str">
        <f t="shared" si="0"/>
        <v>Senior</v>
      </c>
      <c r="D54" s="3" t="s">
        <v>19</v>
      </c>
      <c r="G54" s="3" t="str">
        <f t="shared" si="1"/>
        <v>Normal</v>
      </c>
      <c r="H54">
        <v>24.5</v>
      </c>
      <c r="I54" t="s">
        <v>14</v>
      </c>
      <c r="J54">
        <f t="shared" si="2"/>
        <v>1</v>
      </c>
      <c r="K54" t="s">
        <v>25</v>
      </c>
      <c r="L54" t="s">
        <v>15</v>
      </c>
      <c r="M54">
        <v>9</v>
      </c>
      <c r="N54" t="s">
        <v>30</v>
      </c>
      <c r="O54" t="s">
        <v>17</v>
      </c>
      <c r="P54">
        <v>6</v>
      </c>
    </row>
    <row r="55" spans="1:16" x14ac:dyDescent="0.3">
      <c r="A55" t="s">
        <v>78</v>
      </c>
      <c r="B55">
        <v>21</v>
      </c>
      <c r="C55" t="str">
        <f t="shared" si="0"/>
        <v>Young</v>
      </c>
      <c r="D55" s="3" t="s">
        <v>12</v>
      </c>
      <c r="G55" s="3" t="str">
        <f t="shared" si="1"/>
        <v>Obese</v>
      </c>
      <c r="H55">
        <v>33.6</v>
      </c>
      <c r="I55" t="s">
        <v>13</v>
      </c>
      <c r="J55">
        <f t="shared" si="2"/>
        <v>3</v>
      </c>
      <c r="K55" t="s">
        <v>14</v>
      </c>
      <c r="L55" t="s">
        <v>15</v>
      </c>
      <c r="M55">
        <v>7</v>
      </c>
      <c r="N55" t="s">
        <v>20</v>
      </c>
      <c r="O55" t="s">
        <v>17</v>
      </c>
      <c r="P55">
        <v>3</v>
      </c>
    </row>
    <row r="56" spans="1:16" x14ac:dyDescent="0.3">
      <c r="A56" t="s">
        <v>79</v>
      </c>
      <c r="B56">
        <v>71</v>
      </c>
      <c r="C56" t="str">
        <f t="shared" si="0"/>
        <v>Senior</v>
      </c>
      <c r="D56" s="3" t="s">
        <v>19</v>
      </c>
      <c r="G56" s="3" t="str">
        <f t="shared" si="1"/>
        <v>Obese</v>
      </c>
      <c r="H56">
        <v>36.700000000000003</v>
      </c>
      <c r="I56" t="s">
        <v>14</v>
      </c>
      <c r="J56">
        <f t="shared" si="2"/>
        <v>1</v>
      </c>
      <c r="K56" s="4"/>
      <c r="L56" s="4"/>
      <c r="M56">
        <v>0</v>
      </c>
      <c r="N56" t="s">
        <v>20</v>
      </c>
      <c r="O56" t="s">
        <v>17</v>
      </c>
      <c r="P56">
        <v>5</v>
      </c>
    </row>
    <row r="57" spans="1:16" x14ac:dyDescent="0.3">
      <c r="A57" t="s">
        <v>80</v>
      </c>
      <c r="B57">
        <v>80</v>
      </c>
      <c r="C57" t="str">
        <f t="shared" si="0"/>
        <v>Senior</v>
      </c>
      <c r="D57" s="3" t="s">
        <v>19</v>
      </c>
      <c r="G57" s="3" t="str">
        <f t="shared" si="1"/>
        <v>Obese</v>
      </c>
      <c r="H57">
        <v>36.9</v>
      </c>
      <c r="I57" t="s">
        <v>13</v>
      </c>
      <c r="J57">
        <f t="shared" si="2"/>
        <v>3</v>
      </c>
      <c r="K57" t="s">
        <v>14</v>
      </c>
      <c r="L57" t="s">
        <v>15</v>
      </c>
      <c r="M57">
        <v>9</v>
      </c>
      <c r="N57" t="s">
        <v>20</v>
      </c>
      <c r="O57" t="s">
        <v>17</v>
      </c>
      <c r="P57">
        <v>4</v>
      </c>
    </row>
    <row r="58" spans="1:16" x14ac:dyDescent="0.3">
      <c r="A58" t="s">
        <v>81</v>
      </c>
      <c r="B58">
        <v>35</v>
      </c>
      <c r="C58" t="str">
        <f t="shared" si="0"/>
        <v>Adult</v>
      </c>
      <c r="D58" s="3" t="s">
        <v>12</v>
      </c>
      <c r="G58" s="3" t="str">
        <f t="shared" si="1"/>
        <v>Overweight</v>
      </c>
      <c r="H58">
        <v>27.2</v>
      </c>
      <c r="I58" t="s">
        <v>27</v>
      </c>
      <c r="J58">
        <f t="shared" si="2"/>
        <v>2</v>
      </c>
      <c r="K58" t="s">
        <v>14</v>
      </c>
      <c r="L58" t="s">
        <v>15</v>
      </c>
      <c r="M58">
        <v>0</v>
      </c>
      <c r="N58" t="s">
        <v>16</v>
      </c>
      <c r="O58" t="s">
        <v>17</v>
      </c>
      <c r="P58">
        <v>0</v>
      </c>
    </row>
    <row r="59" spans="1:16" x14ac:dyDescent="0.3">
      <c r="A59" t="s">
        <v>82</v>
      </c>
      <c r="B59">
        <v>61</v>
      </c>
      <c r="C59" t="str">
        <f t="shared" si="0"/>
        <v>Senior</v>
      </c>
      <c r="D59" s="3" t="s">
        <v>19</v>
      </c>
      <c r="G59" s="3" t="str">
        <f t="shared" si="1"/>
        <v>Obese</v>
      </c>
      <c r="H59">
        <v>37.6</v>
      </c>
      <c r="I59" t="s">
        <v>13</v>
      </c>
      <c r="J59">
        <f t="shared" si="2"/>
        <v>3</v>
      </c>
      <c r="K59" t="s">
        <v>23</v>
      </c>
      <c r="L59" t="s">
        <v>15</v>
      </c>
      <c r="M59">
        <v>11</v>
      </c>
      <c r="N59" t="s">
        <v>20</v>
      </c>
      <c r="O59" t="s">
        <v>21</v>
      </c>
      <c r="P59">
        <v>0</v>
      </c>
    </row>
    <row r="60" spans="1:16" x14ac:dyDescent="0.3">
      <c r="A60" t="s">
        <v>83</v>
      </c>
      <c r="B60">
        <v>51</v>
      </c>
      <c r="C60" t="str">
        <f t="shared" si="0"/>
        <v>Senior</v>
      </c>
      <c r="D60" s="3" t="s">
        <v>12</v>
      </c>
      <c r="G60" s="3" t="str">
        <f t="shared" si="1"/>
        <v>underweight</v>
      </c>
      <c r="H60" s="4"/>
      <c r="I60" t="s">
        <v>14</v>
      </c>
      <c r="J60">
        <f t="shared" si="2"/>
        <v>1</v>
      </c>
      <c r="K60" t="s">
        <v>14</v>
      </c>
      <c r="L60" t="s">
        <v>49</v>
      </c>
      <c r="M60">
        <v>3</v>
      </c>
      <c r="N60" s="4"/>
      <c r="O60" t="s">
        <v>21</v>
      </c>
      <c r="P60">
        <v>4</v>
      </c>
    </row>
    <row r="61" spans="1:16" x14ac:dyDescent="0.3">
      <c r="A61" t="s">
        <v>84</v>
      </c>
      <c r="B61">
        <v>79</v>
      </c>
      <c r="C61" t="str">
        <f t="shared" si="0"/>
        <v>Senior</v>
      </c>
      <c r="D61" s="3" t="s">
        <v>12</v>
      </c>
      <c r="G61" s="3" t="str">
        <f t="shared" si="1"/>
        <v>Obese</v>
      </c>
      <c r="H61">
        <v>38.6</v>
      </c>
      <c r="I61" t="s">
        <v>27</v>
      </c>
      <c r="J61">
        <f t="shared" si="2"/>
        <v>2</v>
      </c>
      <c r="K61" t="s">
        <v>14</v>
      </c>
      <c r="L61" t="s">
        <v>15</v>
      </c>
      <c r="M61">
        <v>7</v>
      </c>
      <c r="N61" t="s">
        <v>20</v>
      </c>
      <c r="O61" t="s">
        <v>17</v>
      </c>
      <c r="P61">
        <v>6</v>
      </c>
    </row>
    <row r="62" spans="1:16" x14ac:dyDescent="0.3">
      <c r="A62" t="s">
        <v>85</v>
      </c>
      <c r="B62">
        <v>31</v>
      </c>
      <c r="C62" t="str">
        <f t="shared" si="0"/>
        <v>Adult</v>
      </c>
      <c r="D62" s="3" t="s">
        <v>19</v>
      </c>
      <c r="G62" s="3" t="str">
        <f t="shared" si="1"/>
        <v>Obese</v>
      </c>
      <c r="H62">
        <v>35.4</v>
      </c>
      <c r="I62" t="s">
        <v>27</v>
      </c>
      <c r="J62">
        <f t="shared" si="2"/>
        <v>2</v>
      </c>
      <c r="K62" t="s">
        <v>14</v>
      </c>
      <c r="L62" s="4"/>
      <c r="M62">
        <v>4</v>
      </c>
      <c r="N62" t="s">
        <v>20</v>
      </c>
      <c r="O62" t="s">
        <v>17</v>
      </c>
      <c r="P62">
        <v>2</v>
      </c>
    </row>
    <row r="63" spans="1:16" x14ac:dyDescent="0.3">
      <c r="A63" t="s">
        <v>86</v>
      </c>
      <c r="B63">
        <v>65</v>
      </c>
      <c r="C63" t="str">
        <f t="shared" si="0"/>
        <v>Senior</v>
      </c>
      <c r="D63" s="3" t="s">
        <v>12</v>
      </c>
      <c r="G63" s="3" t="str">
        <f t="shared" si="1"/>
        <v>Obese</v>
      </c>
      <c r="H63">
        <v>32.9</v>
      </c>
      <c r="I63" t="s">
        <v>14</v>
      </c>
      <c r="J63">
        <f t="shared" si="2"/>
        <v>1</v>
      </c>
      <c r="K63" t="s">
        <v>14</v>
      </c>
      <c r="L63" t="s">
        <v>15</v>
      </c>
      <c r="M63">
        <v>1</v>
      </c>
      <c r="N63" t="s">
        <v>16</v>
      </c>
      <c r="O63" t="s">
        <v>17</v>
      </c>
      <c r="P63">
        <v>5</v>
      </c>
    </row>
    <row r="64" spans="1:16" x14ac:dyDescent="0.3">
      <c r="A64" t="s">
        <v>87</v>
      </c>
      <c r="B64">
        <v>32</v>
      </c>
      <c r="C64" t="str">
        <f t="shared" si="0"/>
        <v>Adult</v>
      </c>
      <c r="D64" s="3" t="s">
        <v>12</v>
      </c>
      <c r="G64" s="3" t="str">
        <f t="shared" si="1"/>
        <v>Obese</v>
      </c>
      <c r="H64">
        <v>31</v>
      </c>
      <c r="I64" t="s">
        <v>14</v>
      </c>
      <c r="J64">
        <f t="shared" si="2"/>
        <v>1</v>
      </c>
      <c r="K64" t="s">
        <v>23</v>
      </c>
      <c r="L64" t="s">
        <v>15</v>
      </c>
      <c r="M64">
        <v>5</v>
      </c>
      <c r="N64" s="4"/>
      <c r="O64" t="s">
        <v>21</v>
      </c>
      <c r="P64">
        <v>1</v>
      </c>
    </row>
    <row r="65" spans="1:16" x14ac:dyDescent="0.3">
      <c r="A65" t="s">
        <v>88</v>
      </c>
      <c r="B65">
        <v>79</v>
      </c>
      <c r="C65" t="str">
        <f t="shared" si="0"/>
        <v>Senior</v>
      </c>
      <c r="D65" s="5"/>
      <c r="G65" s="3" t="str">
        <f t="shared" si="1"/>
        <v>Overweight</v>
      </c>
      <c r="H65">
        <v>26.5</v>
      </c>
      <c r="I65" s="4"/>
      <c r="J65" t="str">
        <f t="shared" si="2"/>
        <v>Blank</v>
      </c>
      <c r="K65" t="s">
        <v>23</v>
      </c>
      <c r="L65" t="s">
        <v>49</v>
      </c>
      <c r="M65" s="4"/>
      <c r="N65" t="s">
        <v>16</v>
      </c>
      <c r="O65" t="s">
        <v>17</v>
      </c>
      <c r="P65">
        <v>3</v>
      </c>
    </row>
    <row r="66" spans="1:16" x14ac:dyDescent="0.3">
      <c r="A66" t="s">
        <v>89</v>
      </c>
      <c r="B66">
        <v>57</v>
      </c>
      <c r="C66" t="str">
        <f t="shared" si="0"/>
        <v>Senior</v>
      </c>
      <c r="D66" s="3" t="s">
        <v>12</v>
      </c>
      <c r="G66" s="3" t="str">
        <f t="shared" si="1"/>
        <v>Obese</v>
      </c>
      <c r="H66">
        <v>38.700000000000003</v>
      </c>
      <c r="I66" t="s">
        <v>13</v>
      </c>
      <c r="J66">
        <f t="shared" si="2"/>
        <v>3</v>
      </c>
      <c r="K66" t="s">
        <v>23</v>
      </c>
      <c r="L66" t="s">
        <v>49</v>
      </c>
      <c r="M66">
        <v>1</v>
      </c>
      <c r="N66" t="s">
        <v>20</v>
      </c>
      <c r="O66" t="s">
        <v>17</v>
      </c>
      <c r="P66">
        <v>1</v>
      </c>
    </row>
    <row r="67" spans="1:16" x14ac:dyDescent="0.3">
      <c r="A67" t="s">
        <v>90</v>
      </c>
      <c r="B67">
        <v>70</v>
      </c>
      <c r="C67" t="str">
        <f t="shared" ref="C67:C101" si="3">IF(B67="","blank",IF(B67&lt;30,"Young",IF(B67&lt;50,"Adult","Senior")))</f>
        <v>Senior</v>
      </c>
      <c r="D67" s="3" t="s">
        <v>19</v>
      </c>
      <c r="G67" s="3" t="str">
        <f t="shared" ref="G67:G101" si="4">VLOOKUP(H67,$E$2:$F$5,2,TRUE)</f>
        <v>Obese</v>
      </c>
      <c r="H67">
        <v>39.4</v>
      </c>
      <c r="I67" t="s">
        <v>14</v>
      </c>
      <c r="J67">
        <f t="shared" ref="J67:J101" si="5">IF(I67="Normal",1,IF(I67="Prehypertension",2,IF(I67="Hypertension",3,"Blank")))</f>
        <v>1</v>
      </c>
      <c r="K67" t="s">
        <v>25</v>
      </c>
      <c r="L67" t="s">
        <v>15</v>
      </c>
      <c r="M67">
        <v>10</v>
      </c>
      <c r="N67" s="4"/>
      <c r="O67" t="s">
        <v>17</v>
      </c>
      <c r="P67">
        <v>4</v>
      </c>
    </row>
    <row r="68" spans="1:16" x14ac:dyDescent="0.3">
      <c r="A68" t="s">
        <v>91</v>
      </c>
      <c r="B68">
        <v>41</v>
      </c>
      <c r="C68" t="str">
        <f t="shared" si="3"/>
        <v>Adult</v>
      </c>
      <c r="D68" s="3" t="s">
        <v>12</v>
      </c>
      <c r="G68" s="3" t="str">
        <f t="shared" si="4"/>
        <v>Normal</v>
      </c>
      <c r="H68">
        <v>24.6</v>
      </c>
      <c r="I68" t="s">
        <v>14</v>
      </c>
      <c r="J68">
        <f t="shared" si="5"/>
        <v>1</v>
      </c>
      <c r="K68" t="s">
        <v>25</v>
      </c>
      <c r="L68" t="s">
        <v>15</v>
      </c>
      <c r="M68">
        <v>10</v>
      </c>
      <c r="N68" t="s">
        <v>20</v>
      </c>
      <c r="O68" t="s">
        <v>17</v>
      </c>
      <c r="P68">
        <v>0</v>
      </c>
    </row>
    <row r="69" spans="1:16" x14ac:dyDescent="0.3">
      <c r="A69" t="s">
        <v>92</v>
      </c>
      <c r="B69">
        <v>43</v>
      </c>
      <c r="C69" t="str">
        <f t="shared" si="3"/>
        <v>Adult</v>
      </c>
      <c r="D69" s="3" t="s">
        <v>19</v>
      </c>
      <c r="G69" s="3" t="str">
        <f t="shared" si="4"/>
        <v>Overweight</v>
      </c>
      <c r="H69">
        <v>25.1</v>
      </c>
      <c r="I69" t="s">
        <v>27</v>
      </c>
      <c r="J69">
        <f t="shared" si="5"/>
        <v>2</v>
      </c>
      <c r="K69" t="s">
        <v>14</v>
      </c>
      <c r="L69" s="4"/>
      <c r="M69">
        <v>10</v>
      </c>
      <c r="N69" s="4"/>
      <c r="O69" t="s">
        <v>17</v>
      </c>
      <c r="P69">
        <v>6</v>
      </c>
    </row>
    <row r="70" spans="1:16" x14ac:dyDescent="0.3">
      <c r="A70" t="s">
        <v>93</v>
      </c>
      <c r="B70" s="4"/>
      <c r="C70" t="str">
        <f t="shared" si="3"/>
        <v>blank</v>
      </c>
      <c r="D70" s="3" t="s">
        <v>12</v>
      </c>
      <c r="G70" s="3" t="str">
        <f t="shared" si="4"/>
        <v>Overweight</v>
      </c>
      <c r="H70">
        <v>28.9</v>
      </c>
      <c r="I70" t="s">
        <v>13</v>
      </c>
      <c r="J70">
        <f t="shared" si="5"/>
        <v>3</v>
      </c>
      <c r="K70" t="s">
        <v>25</v>
      </c>
      <c r="L70" t="s">
        <v>15</v>
      </c>
      <c r="M70">
        <v>2</v>
      </c>
      <c r="N70" t="s">
        <v>30</v>
      </c>
      <c r="O70" s="4"/>
      <c r="P70">
        <v>0</v>
      </c>
    </row>
    <row r="71" spans="1:16" x14ac:dyDescent="0.3">
      <c r="A71" t="s">
        <v>94</v>
      </c>
      <c r="B71">
        <v>58</v>
      </c>
      <c r="C71" t="str">
        <f t="shared" si="3"/>
        <v>Senior</v>
      </c>
      <c r="D71" s="3" t="s">
        <v>12</v>
      </c>
      <c r="G71" s="3" t="str">
        <f t="shared" si="4"/>
        <v>underweight</v>
      </c>
      <c r="H71" s="4"/>
      <c r="I71" t="s">
        <v>14</v>
      </c>
      <c r="J71">
        <f t="shared" si="5"/>
        <v>1</v>
      </c>
      <c r="K71" t="s">
        <v>14</v>
      </c>
      <c r="L71" t="s">
        <v>49</v>
      </c>
      <c r="M71">
        <v>8</v>
      </c>
      <c r="N71" t="s">
        <v>16</v>
      </c>
      <c r="O71" t="s">
        <v>17</v>
      </c>
      <c r="P71">
        <v>3</v>
      </c>
    </row>
    <row r="72" spans="1:16" x14ac:dyDescent="0.3">
      <c r="A72" t="s">
        <v>95</v>
      </c>
      <c r="B72">
        <v>46</v>
      </c>
      <c r="C72" t="str">
        <f t="shared" si="3"/>
        <v>Adult</v>
      </c>
      <c r="D72" s="3" t="s">
        <v>12</v>
      </c>
      <c r="G72" s="3" t="str">
        <f t="shared" si="4"/>
        <v>underweight</v>
      </c>
      <c r="H72" s="4"/>
      <c r="I72" t="s">
        <v>14</v>
      </c>
      <c r="J72">
        <f t="shared" si="5"/>
        <v>1</v>
      </c>
      <c r="K72" t="s">
        <v>14</v>
      </c>
      <c r="L72" t="s">
        <v>15</v>
      </c>
      <c r="M72">
        <v>6</v>
      </c>
      <c r="N72" t="s">
        <v>16</v>
      </c>
      <c r="O72" t="s">
        <v>17</v>
      </c>
      <c r="P72">
        <v>0</v>
      </c>
    </row>
    <row r="73" spans="1:16" x14ac:dyDescent="0.3">
      <c r="A73" t="s">
        <v>96</v>
      </c>
      <c r="B73">
        <v>32</v>
      </c>
      <c r="C73" t="str">
        <f t="shared" si="3"/>
        <v>Adult</v>
      </c>
      <c r="D73" s="3" t="s">
        <v>12</v>
      </c>
      <c r="G73" s="3" t="str">
        <f t="shared" si="4"/>
        <v>Normal</v>
      </c>
      <c r="H73">
        <v>22.3</v>
      </c>
      <c r="I73" t="s">
        <v>14</v>
      </c>
      <c r="J73">
        <f t="shared" si="5"/>
        <v>1</v>
      </c>
      <c r="K73" t="s">
        <v>14</v>
      </c>
      <c r="L73" t="s">
        <v>15</v>
      </c>
      <c r="M73">
        <v>6</v>
      </c>
      <c r="N73" t="s">
        <v>30</v>
      </c>
      <c r="O73" s="4"/>
      <c r="P73" s="4"/>
    </row>
    <row r="74" spans="1:16" x14ac:dyDescent="0.3">
      <c r="A74" t="s">
        <v>97</v>
      </c>
      <c r="B74">
        <v>62</v>
      </c>
      <c r="C74" t="str">
        <f t="shared" si="3"/>
        <v>Senior</v>
      </c>
      <c r="D74" s="3" t="s">
        <v>19</v>
      </c>
      <c r="G74" s="3" t="str">
        <f t="shared" si="4"/>
        <v>underweight</v>
      </c>
      <c r="H74" s="4"/>
      <c r="I74" t="s">
        <v>27</v>
      </c>
      <c r="J74">
        <f t="shared" si="5"/>
        <v>2</v>
      </c>
      <c r="K74" t="s">
        <v>23</v>
      </c>
      <c r="L74" t="s">
        <v>49</v>
      </c>
      <c r="M74">
        <v>10</v>
      </c>
      <c r="N74" t="s">
        <v>16</v>
      </c>
      <c r="O74" t="s">
        <v>21</v>
      </c>
      <c r="P74">
        <v>3</v>
      </c>
    </row>
    <row r="75" spans="1:16" x14ac:dyDescent="0.3">
      <c r="A75" t="s">
        <v>98</v>
      </c>
      <c r="B75">
        <v>82</v>
      </c>
      <c r="C75" t="str">
        <f t="shared" si="3"/>
        <v>Senior</v>
      </c>
      <c r="D75" s="3" t="s">
        <v>19</v>
      </c>
      <c r="G75" s="3" t="str">
        <f t="shared" si="4"/>
        <v>Overweight</v>
      </c>
      <c r="H75">
        <v>29.1</v>
      </c>
      <c r="I75" t="s">
        <v>27</v>
      </c>
      <c r="J75">
        <f t="shared" si="5"/>
        <v>2</v>
      </c>
      <c r="K75" t="s">
        <v>23</v>
      </c>
      <c r="L75" t="s">
        <v>15</v>
      </c>
      <c r="M75">
        <v>5</v>
      </c>
      <c r="N75" t="s">
        <v>20</v>
      </c>
      <c r="O75" t="s">
        <v>17</v>
      </c>
      <c r="P75">
        <v>5</v>
      </c>
    </row>
    <row r="76" spans="1:16" x14ac:dyDescent="0.3">
      <c r="A76" t="s">
        <v>99</v>
      </c>
      <c r="B76" s="4"/>
      <c r="C76" t="str">
        <f t="shared" si="3"/>
        <v>blank</v>
      </c>
      <c r="D76" s="3" t="s">
        <v>12</v>
      </c>
      <c r="G76" s="3" t="str">
        <f t="shared" si="4"/>
        <v>Normal</v>
      </c>
      <c r="H76">
        <v>22.3</v>
      </c>
      <c r="I76" t="s">
        <v>14</v>
      </c>
      <c r="J76">
        <f t="shared" si="5"/>
        <v>1</v>
      </c>
      <c r="K76" t="s">
        <v>14</v>
      </c>
      <c r="L76" t="s">
        <v>15</v>
      </c>
      <c r="M76">
        <v>7</v>
      </c>
      <c r="N76" s="4"/>
      <c r="O76" t="s">
        <v>17</v>
      </c>
      <c r="P76">
        <v>5</v>
      </c>
    </row>
    <row r="77" spans="1:16" x14ac:dyDescent="0.3">
      <c r="A77" t="s">
        <v>100</v>
      </c>
      <c r="B77">
        <v>18</v>
      </c>
      <c r="C77" t="str">
        <f t="shared" si="3"/>
        <v>Young</v>
      </c>
      <c r="D77" s="5"/>
      <c r="G77" s="3" t="str">
        <f t="shared" si="4"/>
        <v>Overweight</v>
      </c>
      <c r="H77">
        <v>26.4</v>
      </c>
      <c r="I77" t="s">
        <v>13</v>
      </c>
      <c r="J77">
        <f t="shared" si="5"/>
        <v>3</v>
      </c>
      <c r="K77" t="s">
        <v>14</v>
      </c>
      <c r="L77" t="s">
        <v>15</v>
      </c>
      <c r="M77">
        <v>3</v>
      </c>
      <c r="N77" t="s">
        <v>20</v>
      </c>
      <c r="O77" t="s">
        <v>17</v>
      </c>
      <c r="P77">
        <v>3</v>
      </c>
    </row>
    <row r="78" spans="1:16" x14ac:dyDescent="0.3">
      <c r="A78" t="s">
        <v>101</v>
      </c>
      <c r="B78">
        <v>25</v>
      </c>
      <c r="C78" t="str">
        <f t="shared" si="3"/>
        <v>Young</v>
      </c>
      <c r="D78" s="3" t="s">
        <v>19</v>
      </c>
      <c r="G78" s="3" t="str">
        <f t="shared" si="4"/>
        <v>Obese</v>
      </c>
      <c r="H78">
        <v>34.5</v>
      </c>
      <c r="I78" t="s">
        <v>27</v>
      </c>
      <c r="J78">
        <f t="shared" si="5"/>
        <v>2</v>
      </c>
      <c r="K78" t="s">
        <v>23</v>
      </c>
      <c r="L78" t="s">
        <v>15</v>
      </c>
      <c r="M78">
        <v>7</v>
      </c>
      <c r="N78" t="s">
        <v>30</v>
      </c>
      <c r="O78" t="s">
        <v>17</v>
      </c>
      <c r="P78">
        <v>6</v>
      </c>
    </row>
    <row r="79" spans="1:16" x14ac:dyDescent="0.3">
      <c r="A79" t="s">
        <v>102</v>
      </c>
      <c r="B79">
        <v>80</v>
      </c>
      <c r="C79" t="str">
        <f t="shared" si="3"/>
        <v>Senior</v>
      </c>
      <c r="D79" s="3" t="s">
        <v>12</v>
      </c>
      <c r="G79" s="3" t="str">
        <f t="shared" si="4"/>
        <v>Obese</v>
      </c>
      <c r="H79">
        <v>34</v>
      </c>
      <c r="I79" t="s">
        <v>14</v>
      </c>
      <c r="J79">
        <f t="shared" si="5"/>
        <v>1</v>
      </c>
      <c r="K79" t="s">
        <v>25</v>
      </c>
      <c r="L79" t="s">
        <v>15</v>
      </c>
      <c r="M79">
        <v>3</v>
      </c>
      <c r="N79" t="s">
        <v>16</v>
      </c>
      <c r="O79" t="s">
        <v>17</v>
      </c>
      <c r="P79">
        <v>4</v>
      </c>
    </row>
    <row r="80" spans="1:16" x14ac:dyDescent="0.3">
      <c r="A80" t="s">
        <v>103</v>
      </c>
      <c r="B80">
        <v>28</v>
      </c>
      <c r="C80" t="str">
        <f t="shared" si="3"/>
        <v>Young</v>
      </c>
      <c r="D80" s="3" t="s">
        <v>12</v>
      </c>
      <c r="G80" s="3" t="str">
        <f t="shared" si="4"/>
        <v>Overweight</v>
      </c>
      <c r="H80">
        <v>25.1</v>
      </c>
      <c r="I80" t="s">
        <v>14</v>
      </c>
      <c r="J80">
        <f t="shared" si="5"/>
        <v>1</v>
      </c>
      <c r="K80" t="s">
        <v>14</v>
      </c>
      <c r="L80" t="s">
        <v>15</v>
      </c>
      <c r="M80">
        <v>7</v>
      </c>
      <c r="N80" t="s">
        <v>30</v>
      </c>
      <c r="O80" t="s">
        <v>17</v>
      </c>
      <c r="P80">
        <v>0</v>
      </c>
    </row>
    <row r="81" spans="1:16" x14ac:dyDescent="0.3">
      <c r="A81" t="s">
        <v>104</v>
      </c>
      <c r="B81">
        <v>25</v>
      </c>
      <c r="C81" t="str">
        <f t="shared" si="3"/>
        <v>Young</v>
      </c>
      <c r="D81" s="3" t="s">
        <v>12</v>
      </c>
      <c r="G81" s="3" t="str">
        <f t="shared" si="4"/>
        <v>Obese</v>
      </c>
      <c r="H81">
        <v>30.2</v>
      </c>
      <c r="I81" t="s">
        <v>14</v>
      </c>
      <c r="J81">
        <f t="shared" si="5"/>
        <v>1</v>
      </c>
      <c r="K81" t="s">
        <v>23</v>
      </c>
      <c r="L81" t="s">
        <v>15</v>
      </c>
      <c r="M81">
        <v>8</v>
      </c>
      <c r="N81" t="s">
        <v>30</v>
      </c>
      <c r="O81" t="s">
        <v>17</v>
      </c>
      <c r="P81">
        <v>6</v>
      </c>
    </row>
    <row r="82" spans="1:16" x14ac:dyDescent="0.3">
      <c r="A82" t="s">
        <v>105</v>
      </c>
      <c r="B82">
        <v>52</v>
      </c>
      <c r="C82" t="str">
        <f t="shared" si="3"/>
        <v>Senior</v>
      </c>
      <c r="D82" s="3" t="s">
        <v>19</v>
      </c>
      <c r="G82" s="3" t="str">
        <f t="shared" si="4"/>
        <v>underweight</v>
      </c>
      <c r="H82" s="4"/>
      <c r="I82" t="s">
        <v>13</v>
      </c>
      <c r="J82">
        <f t="shared" si="5"/>
        <v>3</v>
      </c>
      <c r="K82" t="s">
        <v>25</v>
      </c>
      <c r="L82" t="s">
        <v>15</v>
      </c>
      <c r="M82" s="4"/>
      <c r="N82" t="s">
        <v>20</v>
      </c>
      <c r="O82" t="s">
        <v>21</v>
      </c>
      <c r="P82">
        <v>0</v>
      </c>
    </row>
    <row r="83" spans="1:16" x14ac:dyDescent="0.3">
      <c r="A83" t="s">
        <v>106</v>
      </c>
      <c r="B83">
        <v>52</v>
      </c>
      <c r="C83" t="str">
        <f t="shared" si="3"/>
        <v>Senior</v>
      </c>
      <c r="D83" s="3" t="s">
        <v>19</v>
      </c>
      <c r="G83" s="3" t="str">
        <f t="shared" si="4"/>
        <v>Obese</v>
      </c>
      <c r="H83">
        <v>32.200000000000003</v>
      </c>
      <c r="I83" t="s">
        <v>27</v>
      </c>
      <c r="J83">
        <f t="shared" si="5"/>
        <v>2</v>
      </c>
      <c r="K83" t="s">
        <v>25</v>
      </c>
      <c r="L83" t="s">
        <v>15</v>
      </c>
      <c r="M83">
        <v>2</v>
      </c>
      <c r="N83" t="s">
        <v>16</v>
      </c>
      <c r="O83" t="s">
        <v>17</v>
      </c>
      <c r="P83">
        <v>4</v>
      </c>
    </row>
    <row r="84" spans="1:16" x14ac:dyDescent="0.3">
      <c r="A84" t="s">
        <v>107</v>
      </c>
      <c r="B84">
        <v>50</v>
      </c>
      <c r="C84" t="str">
        <f t="shared" si="3"/>
        <v>Senior</v>
      </c>
      <c r="D84" s="3" t="s">
        <v>19</v>
      </c>
      <c r="G84" s="3" t="str">
        <f t="shared" si="4"/>
        <v>Normal</v>
      </c>
      <c r="H84">
        <v>23.9</v>
      </c>
      <c r="I84" t="s">
        <v>27</v>
      </c>
      <c r="J84">
        <f t="shared" si="5"/>
        <v>2</v>
      </c>
      <c r="K84" t="s">
        <v>25</v>
      </c>
      <c r="L84" t="s">
        <v>49</v>
      </c>
      <c r="M84" s="4"/>
      <c r="N84" t="s">
        <v>20</v>
      </c>
      <c r="O84" t="s">
        <v>17</v>
      </c>
      <c r="P84">
        <v>5</v>
      </c>
    </row>
    <row r="85" spans="1:16" x14ac:dyDescent="0.3">
      <c r="A85" t="s">
        <v>108</v>
      </c>
      <c r="B85">
        <v>22</v>
      </c>
      <c r="C85" t="str">
        <f t="shared" si="3"/>
        <v>Young</v>
      </c>
      <c r="D85" s="3" t="s">
        <v>12</v>
      </c>
      <c r="G85" s="3" t="str">
        <f t="shared" si="4"/>
        <v>Obese</v>
      </c>
      <c r="H85">
        <v>31.2</v>
      </c>
      <c r="I85" t="s">
        <v>27</v>
      </c>
      <c r="J85">
        <f t="shared" si="5"/>
        <v>2</v>
      </c>
      <c r="K85" t="s">
        <v>23</v>
      </c>
      <c r="L85" t="s">
        <v>49</v>
      </c>
      <c r="M85">
        <v>1</v>
      </c>
      <c r="N85" t="s">
        <v>16</v>
      </c>
      <c r="O85" t="s">
        <v>17</v>
      </c>
      <c r="P85">
        <v>6</v>
      </c>
    </row>
    <row r="86" spans="1:16" x14ac:dyDescent="0.3">
      <c r="A86" t="s">
        <v>109</v>
      </c>
      <c r="B86" s="4"/>
      <c r="C86" t="str">
        <f t="shared" si="3"/>
        <v>blank</v>
      </c>
      <c r="D86" s="3" t="s">
        <v>12</v>
      </c>
      <c r="G86" s="3" t="str">
        <f t="shared" si="4"/>
        <v>Obese</v>
      </c>
      <c r="H86">
        <v>39.5</v>
      </c>
      <c r="I86" t="s">
        <v>27</v>
      </c>
      <c r="J86">
        <f t="shared" si="5"/>
        <v>2</v>
      </c>
      <c r="K86" s="4"/>
      <c r="L86" t="s">
        <v>49</v>
      </c>
      <c r="M86">
        <v>9</v>
      </c>
      <c r="N86" t="s">
        <v>30</v>
      </c>
      <c r="O86" t="s">
        <v>17</v>
      </c>
      <c r="P86">
        <v>2</v>
      </c>
    </row>
    <row r="87" spans="1:16" x14ac:dyDescent="0.3">
      <c r="A87" t="s">
        <v>110</v>
      </c>
      <c r="B87" s="4"/>
      <c r="C87" t="str">
        <f t="shared" si="3"/>
        <v>blank</v>
      </c>
      <c r="D87" s="3" t="s">
        <v>19</v>
      </c>
      <c r="G87" s="3" t="str">
        <f t="shared" si="4"/>
        <v>Overweight</v>
      </c>
      <c r="H87">
        <v>29</v>
      </c>
      <c r="I87" t="s">
        <v>13</v>
      </c>
      <c r="J87">
        <f t="shared" si="5"/>
        <v>3</v>
      </c>
      <c r="K87" t="s">
        <v>14</v>
      </c>
      <c r="L87" t="s">
        <v>49</v>
      </c>
      <c r="M87">
        <v>2</v>
      </c>
      <c r="N87" t="s">
        <v>20</v>
      </c>
      <c r="O87" t="s">
        <v>21</v>
      </c>
      <c r="P87">
        <v>2</v>
      </c>
    </row>
    <row r="88" spans="1:16" x14ac:dyDescent="0.3">
      <c r="A88" t="s">
        <v>111</v>
      </c>
      <c r="B88">
        <v>24</v>
      </c>
      <c r="C88" t="str">
        <f t="shared" si="3"/>
        <v>Young</v>
      </c>
      <c r="D88" s="3" t="s">
        <v>19</v>
      </c>
      <c r="G88" s="3" t="str">
        <f t="shared" si="4"/>
        <v>underweight</v>
      </c>
      <c r="H88" s="4"/>
      <c r="I88" t="s">
        <v>14</v>
      </c>
      <c r="J88">
        <f t="shared" si="5"/>
        <v>1</v>
      </c>
      <c r="K88" t="s">
        <v>14</v>
      </c>
      <c r="L88" t="s">
        <v>49</v>
      </c>
      <c r="M88">
        <v>2</v>
      </c>
      <c r="N88" t="s">
        <v>30</v>
      </c>
      <c r="O88" t="s">
        <v>21</v>
      </c>
      <c r="P88">
        <v>2</v>
      </c>
    </row>
    <row r="89" spans="1:16" x14ac:dyDescent="0.3">
      <c r="A89" t="s">
        <v>112</v>
      </c>
      <c r="B89">
        <v>29</v>
      </c>
      <c r="C89" t="str">
        <f t="shared" si="3"/>
        <v>Young</v>
      </c>
      <c r="D89" s="5"/>
      <c r="G89" s="3" t="str">
        <f t="shared" si="4"/>
        <v>Overweight</v>
      </c>
      <c r="H89">
        <v>27.8</v>
      </c>
      <c r="I89" t="s">
        <v>27</v>
      </c>
      <c r="J89">
        <f t="shared" si="5"/>
        <v>2</v>
      </c>
      <c r="K89" t="s">
        <v>25</v>
      </c>
      <c r="L89" t="s">
        <v>15</v>
      </c>
      <c r="M89">
        <v>4</v>
      </c>
      <c r="N89" t="s">
        <v>30</v>
      </c>
      <c r="O89" t="s">
        <v>17</v>
      </c>
      <c r="P89" s="4"/>
    </row>
    <row r="90" spans="1:16" x14ac:dyDescent="0.3">
      <c r="A90" t="s">
        <v>113</v>
      </c>
      <c r="B90">
        <v>51</v>
      </c>
      <c r="C90" t="str">
        <f t="shared" si="3"/>
        <v>Senior</v>
      </c>
      <c r="D90" s="3" t="s">
        <v>19</v>
      </c>
      <c r="G90" s="3" t="str">
        <f t="shared" si="4"/>
        <v>Overweight</v>
      </c>
      <c r="H90">
        <v>26</v>
      </c>
      <c r="I90" t="s">
        <v>14</v>
      </c>
      <c r="J90">
        <f t="shared" si="5"/>
        <v>1</v>
      </c>
      <c r="K90" t="s">
        <v>14</v>
      </c>
      <c r="L90" t="s">
        <v>15</v>
      </c>
      <c r="M90">
        <v>4</v>
      </c>
      <c r="N90" t="s">
        <v>30</v>
      </c>
      <c r="O90" t="s">
        <v>17</v>
      </c>
      <c r="P90">
        <v>5</v>
      </c>
    </row>
    <row r="91" spans="1:16" x14ac:dyDescent="0.3">
      <c r="A91" t="s">
        <v>114</v>
      </c>
      <c r="B91">
        <v>50</v>
      </c>
      <c r="C91" t="str">
        <f t="shared" si="3"/>
        <v>Senior</v>
      </c>
      <c r="D91" s="3" t="s">
        <v>12</v>
      </c>
      <c r="G91" s="3" t="str">
        <f t="shared" si="4"/>
        <v>Obese</v>
      </c>
      <c r="H91">
        <v>32.4</v>
      </c>
      <c r="I91" t="s">
        <v>14</v>
      </c>
      <c r="J91">
        <f t="shared" si="5"/>
        <v>1</v>
      </c>
      <c r="K91" t="s">
        <v>25</v>
      </c>
      <c r="L91" s="4"/>
      <c r="M91">
        <v>1</v>
      </c>
      <c r="N91" t="s">
        <v>30</v>
      </c>
      <c r="O91" t="s">
        <v>17</v>
      </c>
      <c r="P91">
        <v>4</v>
      </c>
    </row>
    <row r="92" spans="1:16" x14ac:dyDescent="0.3">
      <c r="A92" t="s">
        <v>115</v>
      </c>
      <c r="B92">
        <v>65</v>
      </c>
      <c r="C92" t="str">
        <f t="shared" si="3"/>
        <v>Senior</v>
      </c>
      <c r="D92" s="3" t="s">
        <v>19</v>
      </c>
      <c r="G92" s="3" t="str">
        <f t="shared" si="4"/>
        <v>Obese</v>
      </c>
      <c r="H92">
        <v>32.9</v>
      </c>
      <c r="I92" t="s">
        <v>14</v>
      </c>
      <c r="J92">
        <f t="shared" si="5"/>
        <v>1</v>
      </c>
      <c r="K92" t="s">
        <v>25</v>
      </c>
      <c r="L92" t="s">
        <v>15</v>
      </c>
      <c r="M92">
        <v>11</v>
      </c>
      <c r="N92" t="s">
        <v>20</v>
      </c>
      <c r="O92" t="s">
        <v>21</v>
      </c>
      <c r="P92">
        <v>0</v>
      </c>
    </row>
    <row r="93" spans="1:16" x14ac:dyDescent="0.3">
      <c r="A93" t="s">
        <v>116</v>
      </c>
      <c r="B93">
        <v>40</v>
      </c>
      <c r="C93" t="str">
        <f t="shared" si="3"/>
        <v>Adult</v>
      </c>
      <c r="D93" s="3" t="s">
        <v>12</v>
      </c>
      <c r="G93" s="3" t="str">
        <f t="shared" si="4"/>
        <v>underweight</v>
      </c>
      <c r="H93" s="4"/>
      <c r="I93" t="s">
        <v>14</v>
      </c>
      <c r="J93">
        <f t="shared" si="5"/>
        <v>1</v>
      </c>
      <c r="K93" t="s">
        <v>25</v>
      </c>
      <c r="L93" t="s">
        <v>15</v>
      </c>
      <c r="M93">
        <v>9</v>
      </c>
      <c r="N93" t="s">
        <v>30</v>
      </c>
      <c r="O93" t="s">
        <v>17</v>
      </c>
      <c r="P93">
        <v>4</v>
      </c>
    </row>
    <row r="94" spans="1:16" x14ac:dyDescent="0.3">
      <c r="A94" t="s">
        <v>117</v>
      </c>
      <c r="B94">
        <v>79</v>
      </c>
      <c r="C94" t="str">
        <f t="shared" si="3"/>
        <v>Senior</v>
      </c>
      <c r="D94" s="3" t="s">
        <v>19</v>
      </c>
      <c r="G94" s="3" t="str">
        <f t="shared" si="4"/>
        <v>Normal</v>
      </c>
      <c r="H94">
        <v>23.4</v>
      </c>
      <c r="I94" t="s">
        <v>14</v>
      </c>
      <c r="J94">
        <f t="shared" si="5"/>
        <v>1</v>
      </c>
      <c r="K94" t="s">
        <v>14</v>
      </c>
      <c r="L94" t="s">
        <v>15</v>
      </c>
      <c r="M94">
        <v>5</v>
      </c>
      <c r="N94" t="s">
        <v>16</v>
      </c>
      <c r="O94" t="s">
        <v>17</v>
      </c>
      <c r="P94">
        <v>4</v>
      </c>
    </row>
    <row r="95" spans="1:16" x14ac:dyDescent="0.3">
      <c r="A95" t="s">
        <v>118</v>
      </c>
      <c r="B95">
        <v>54</v>
      </c>
      <c r="C95" t="str">
        <f t="shared" si="3"/>
        <v>Senior</v>
      </c>
      <c r="D95" s="3" t="s">
        <v>12</v>
      </c>
      <c r="G95" s="3" t="str">
        <f t="shared" si="4"/>
        <v>underweight</v>
      </c>
      <c r="H95" s="4"/>
      <c r="I95" t="s">
        <v>14</v>
      </c>
      <c r="J95">
        <f t="shared" si="5"/>
        <v>1</v>
      </c>
      <c r="K95" t="s">
        <v>23</v>
      </c>
      <c r="L95" t="s">
        <v>15</v>
      </c>
      <c r="M95">
        <v>4</v>
      </c>
      <c r="N95" s="4"/>
      <c r="O95" s="4"/>
      <c r="P95">
        <v>5</v>
      </c>
    </row>
    <row r="96" spans="1:16" x14ac:dyDescent="0.3">
      <c r="A96" t="s">
        <v>119</v>
      </c>
      <c r="B96">
        <v>61</v>
      </c>
      <c r="C96" t="str">
        <f t="shared" si="3"/>
        <v>Senior</v>
      </c>
      <c r="D96" s="3" t="s">
        <v>19</v>
      </c>
      <c r="G96" s="3" t="str">
        <f t="shared" si="4"/>
        <v>Obese</v>
      </c>
      <c r="H96">
        <v>30.8</v>
      </c>
      <c r="I96" s="4"/>
      <c r="J96" t="str">
        <f t="shared" si="5"/>
        <v>Blank</v>
      </c>
      <c r="K96" t="s">
        <v>14</v>
      </c>
      <c r="L96" s="4"/>
      <c r="M96">
        <v>5</v>
      </c>
      <c r="N96" s="4"/>
      <c r="O96" t="s">
        <v>17</v>
      </c>
      <c r="P96">
        <v>2</v>
      </c>
    </row>
    <row r="97" spans="1:16" x14ac:dyDescent="0.3">
      <c r="A97" t="s">
        <v>120</v>
      </c>
      <c r="B97">
        <v>52</v>
      </c>
      <c r="C97" t="str">
        <f t="shared" si="3"/>
        <v>Senior</v>
      </c>
      <c r="D97" s="3" t="s">
        <v>19</v>
      </c>
      <c r="G97" s="3" t="str">
        <f t="shared" si="4"/>
        <v>Obese</v>
      </c>
      <c r="H97">
        <v>35</v>
      </c>
      <c r="I97" t="s">
        <v>14</v>
      </c>
      <c r="J97">
        <f t="shared" si="5"/>
        <v>1</v>
      </c>
      <c r="K97" t="s">
        <v>25</v>
      </c>
      <c r="L97" t="s">
        <v>15</v>
      </c>
      <c r="M97">
        <v>0</v>
      </c>
      <c r="N97" t="s">
        <v>20</v>
      </c>
      <c r="O97" t="s">
        <v>17</v>
      </c>
      <c r="P97">
        <v>1</v>
      </c>
    </row>
    <row r="98" spans="1:16" x14ac:dyDescent="0.3">
      <c r="A98" t="s">
        <v>121</v>
      </c>
      <c r="B98">
        <v>82</v>
      </c>
      <c r="C98" t="str">
        <f t="shared" si="3"/>
        <v>Senior</v>
      </c>
      <c r="D98" s="3" t="s">
        <v>19</v>
      </c>
      <c r="G98" s="3" t="str">
        <f t="shared" si="4"/>
        <v>Normal</v>
      </c>
      <c r="H98">
        <v>19.399999999999999</v>
      </c>
      <c r="I98" t="s">
        <v>14</v>
      </c>
      <c r="J98">
        <f t="shared" si="5"/>
        <v>1</v>
      </c>
      <c r="K98" t="s">
        <v>23</v>
      </c>
      <c r="L98" t="s">
        <v>15</v>
      </c>
      <c r="M98">
        <v>4</v>
      </c>
      <c r="N98" s="4"/>
      <c r="O98" t="s">
        <v>17</v>
      </c>
      <c r="P98">
        <v>0</v>
      </c>
    </row>
    <row r="99" spans="1:16" x14ac:dyDescent="0.3">
      <c r="A99" t="s">
        <v>122</v>
      </c>
      <c r="B99" s="4"/>
      <c r="C99" t="str">
        <f t="shared" si="3"/>
        <v>blank</v>
      </c>
      <c r="D99" s="3" t="s">
        <v>19</v>
      </c>
      <c r="G99" s="3" t="str">
        <f t="shared" si="4"/>
        <v>Obese</v>
      </c>
      <c r="H99">
        <v>39.9</v>
      </c>
      <c r="I99" t="s">
        <v>13</v>
      </c>
      <c r="J99">
        <f t="shared" si="5"/>
        <v>3</v>
      </c>
      <c r="K99" t="s">
        <v>14</v>
      </c>
      <c r="L99" t="s">
        <v>15</v>
      </c>
      <c r="M99">
        <v>8</v>
      </c>
      <c r="N99" t="s">
        <v>30</v>
      </c>
      <c r="O99" t="s">
        <v>21</v>
      </c>
      <c r="P99" s="4"/>
    </row>
    <row r="100" spans="1:16" x14ac:dyDescent="0.3">
      <c r="A100" t="s">
        <v>123</v>
      </c>
      <c r="B100">
        <v>20</v>
      </c>
      <c r="C100" t="str">
        <f t="shared" si="3"/>
        <v>Young</v>
      </c>
      <c r="D100" s="3" t="s">
        <v>12</v>
      </c>
      <c r="G100" s="3" t="str">
        <f t="shared" si="4"/>
        <v>Overweight</v>
      </c>
      <c r="H100">
        <v>28.6</v>
      </c>
      <c r="I100" t="s">
        <v>13</v>
      </c>
      <c r="J100">
        <f t="shared" si="5"/>
        <v>3</v>
      </c>
      <c r="K100" t="s">
        <v>23</v>
      </c>
      <c r="L100" t="s">
        <v>15</v>
      </c>
      <c r="M100">
        <v>11</v>
      </c>
      <c r="N100" t="s">
        <v>30</v>
      </c>
      <c r="O100" t="s">
        <v>21</v>
      </c>
      <c r="P100">
        <v>2</v>
      </c>
    </row>
    <row r="101" spans="1:16" x14ac:dyDescent="0.3">
      <c r="A101" t="s">
        <v>124</v>
      </c>
      <c r="B101">
        <v>18</v>
      </c>
      <c r="C101" t="str">
        <f t="shared" si="3"/>
        <v>Young</v>
      </c>
      <c r="D101" s="3" t="s">
        <v>19</v>
      </c>
      <c r="G101" s="3" t="str">
        <f t="shared" si="4"/>
        <v>Normal</v>
      </c>
      <c r="H101">
        <v>24.5</v>
      </c>
      <c r="I101" t="s">
        <v>14</v>
      </c>
      <c r="J101">
        <f t="shared" si="5"/>
        <v>1</v>
      </c>
      <c r="K101" t="s">
        <v>14</v>
      </c>
      <c r="L101" t="s">
        <v>15</v>
      </c>
      <c r="M101">
        <v>9</v>
      </c>
      <c r="N101" t="s">
        <v>20</v>
      </c>
      <c r="O101" t="s">
        <v>21</v>
      </c>
      <c r="P101">
        <v>6</v>
      </c>
    </row>
  </sheetData>
  <autoFilter ref="A1:P101" xr:uid="{E3EE4F8F-2368-4641-A565-A453115C1AA3}"/>
  <mergeCells count="1">
    <mergeCell ref="R2:U2"/>
  </mergeCells>
  <conditionalFormatting sqref="A1:D101 G1:P101">
    <cfRule type="containsBlanks" dxfId="5985" priority="1">
      <formula>LEN(TRIM(A1))=0</formula>
    </cfRule>
    <cfRule type="containsBlanks" dxfId="5984" priority="4">
      <formula>LEN(TRIM(A1))=0</formula>
    </cfRule>
  </conditionalFormatting>
  <conditionalFormatting sqref="G1:P101 A1:D101">
    <cfRule type="containsBlanks" dxfId="5983" priority="3">
      <formula>LEN(TRIM(A1))=0</formula>
    </cfRule>
  </conditionalFormatting>
  <conditionalFormatting sqref="K14">
    <cfRule type="containsBlanks" dxfId="5982" priority="2">
      <formula>LEN(TRIM(K14))=0</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58FA7C-DB5B-4844-A143-C852EDC8D1E6}">
  <dimension ref="A1:Q98"/>
  <sheetViews>
    <sheetView topLeftCell="A72" zoomScale="80" zoomScaleNormal="80" workbookViewId="0">
      <selection activeCell="P81" sqref="P81"/>
    </sheetView>
  </sheetViews>
  <sheetFormatPr defaultRowHeight="14.4" x14ac:dyDescent="0.3"/>
  <cols>
    <col min="1" max="1" width="15.5546875" bestFit="1" customWidth="1"/>
    <col min="2" max="2" width="18" bestFit="1" customWidth="1"/>
    <col min="3" max="3" width="4" bestFit="1" customWidth="1"/>
    <col min="4" max="4" width="7.109375" bestFit="1" customWidth="1"/>
    <col min="5" max="5" width="18" bestFit="1" customWidth="1"/>
    <col min="6" max="6" width="16.33203125" bestFit="1" customWidth="1"/>
    <col min="7" max="7" width="7.44140625" bestFit="1" customWidth="1"/>
    <col min="8" max="8" width="7.109375" bestFit="1" customWidth="1"/>
    <col min="9" max="9" width="11" bestFit="1" customWidth="1"/>
    <col min="10" max="10" width="13.33203125" bestFit="1" customWidth="1"/>
    <col min="11" max="11" width="18" bestFit="1" customWidth="1"/>
    <col min="12" max="12" width="11.5546875" customWidth="1"/>
    <col min="13" max="13" width="13.33203125" bestFit="1" customWidth="1"/>
    <col min="14" max="14" width="18" bestFit="1" customWidth="1"/>
    <col min="15" max="15" width="31" customWidth="1"/>
    <col min="16" max="16" width="13.33203125" bestFit="1" customWidth="1"/>
    <col min="17" max="17" width="18" bestFit="1" customWidth="1"/>
    <col min="18" max="18" width="10" customWidth="1"/>
    <col min="19" max="19" width="6.33203125" bestFit="1" customWidth="1"/>
    <col min="20" max="20" width="11" bestFit="1" customWidth="1"/>
    <col min="21" max="59" width="15.5546875" bestFit="1" customWidth="1"/>
    <col min="60" max="60" width="10.77734375" bestFit="1" customWidth="1"/>
  </cols>
  <sheetData>
    <row r="1" spans="1:17" x14ac:dyDescent="0.3">
      <c r="A1" s="11" t="s">
        <v>135</v>
      </c>
      <c r="B1" s="8"/>
      <c r="E1" s="41" t="s">
        <v>164</v>
      </c>
      <c r="F1" s="40"/>
      <c r="G1" s="40"/>
      <c r="H1" s="7"/>
      <c r="J1" s="41" t="s">
        <v>143</v>
      </c>
      <c r="K1" s="42"/>
    </row>
    <row r="2" spans="1:17" x14ac:dyDescent="0.3">
      <c r="A2" s="8"/>
      <c r="B2" s="8"/>
      <c r="E2" s="8"/>
      <c r="F2" s="8"/>
      <c r="G2" s="8"/>
      <c r="J2" s="8"/>
      <c r="K2" s="8"/>
    </row>
    <row r="3" spans="1:17" x14ac:dyDescent="0.3">
      <c r="A3" s="8" t="s">
        <v>136</v>
      </c>
      <c r="B3" s="8" t="s">
        <v>139</v>
      </c>
      <c r="E3" s="8" t="s">
        <v>136</v>
      </c>
      <c r="F3" s="8" t="s">
        <v>139</v>
      </c>
      <c r="G3" s="8"/>
      <c r="J3" s="8" t="s">
        <v>142</v>
      </c>
      <c r="K3" s="8" t="s">
        <v>141</v>
      </c>
    </row>
    <row r="4" spans="1:17" x14ac:dyDescent="0.3">
      <c r="A4" s="10" t="s">
        <v>15</v>
      </c>
      <c r="B4" s="49">
        <v>73</v>
      </c>
      <c r="E4" s="10" t="s">
        <v>19</v>
      </c>
      <c r="F4" s="49">
        <v>44</v>
      </c>
      <c r="G4" s="8"/>
      <c r="J4" s="49">
        <v>18</v>
      </c>
      <c r="K4" s="49">
        <v>82</v>
      </c>
    </row>
    <row r="5" spans="1:17" x14ac:dyDescent="0.3">
      <c r="A5" s="10" t="s">
        <v>49</v>
      </c>
      <c r="B5" s="49">
        <v>17</v>
      </c>
      <c r="E5" s="10" t="s">
        <v>12</v>
      </c>
      <c r="F5" s="49">
        <v>47</v>
      </c>
      <c r="G5" s="8"/>
    </row>
    <row r="6" spans="1:17" x14ac:dyDescent="0.3">
      <c r="A6" s="10" t="s">
        <v>137</v>
      </c>
      <c r="B6" s="49">
        <v>10</v>
      </c>
      <c r="E6" s="10" t="s">
        <v>137</v>
      </c>
      <c r="F6" s="49">
        <v>9</v>
      </c>
      <c r="G6" s="8"/>
    </row>
    <row r="7" spans="1:17" x14ac:dyDescent="0.3">
      <c r="A7" s="10" t="s">
        <v>138</v>
      </c>
      <c r="B7" s="49">
        <v>100</v>
      </c>
      <c r="E7" s="10" t="s">
        <v>138</v>
      </c>
      <c r="F7" s="49">
        <v>100</v>
      </c>
      <c r="G7" s="8"/>
    </row>
    <row r="9" spans="1:17" x14ac:dyDescent="0.3">
      <c r="A9" s="7"/>
      <c r="B9" s="7"/>
    </row>
    <row r="11" spans="1:17" x14ac:dyDescent="0.3">
      <c r="A11" s="41" t="s">
        <v>147</v>
      </c>
      <c r="B11" s="40"/>
      <c r="E11" s="41" t="s">
        <v>148</v>
      </c>
      <c r="F11" s="42"/>
      <c r="G11" s="42"/>
      <c r="J11" s="41" t="s">
        <v>149</v>
      </c>
      <c r="K11" s="40"/>
      <c r="M11" s="40" t="s">
        <v>150</v>
      </c>
      <c r="N11" s="40"/>
      <c r="P11" s="35" t="s">
        <v>174</v>
      </c>
      <c r="Q11" s="35"/>
    </row>
    <row r="12" spans="1:17" x14ac:dyDescent="0.3">
      <c r="A12" s="8"/>
      <c r="B12" s="8"/>
      <c r="E12" s="8"/>
      <c r="F12" s="8"/>
      <c r="G12" s="8"/>
      <c r="J12" s="8" t="s">
        <v>136</v>
      </c>
      <c r="K12" s="8" t="s">
        <v>139</v>
      </c>
      <c r="M12" s="8" t="s">
        <v>136</v>
      </c>
      <c r="N12" s="8" t="s">
        <v>139</v>
      </c>
      <c r="P12" s="19" t="s">
        <v>136</v>
      </c>
      <c r="Q12" s="19" t="s">
        <v>139</v>
      </c>
    </row>
    <row r="13" spans="1:17" x14ac:dyDescent="0.3">
      <c r="A13" s="8" t="s">
        <v>136</v>
      </c>
      <c r="B13" s="8" t="s">
        <v>139</v>
      </c>
      <c r="E13" s="8" t="s">
        <v>136</v>
      </c>
      <c r="F13" s="8" t="s">
        <v>139</v>
      </c>
      <c r="G13" s="8"/>
      <c r="J13" s="10" t="s">
        <v>15</v>
      </c>
      <c r="K13" s="49">
        <v>73</v>
      </c>
      <c r="M13" s="10">
        <v>0</v>
      </c>
      <c r="N13" s="49">
        <v>8</v>
      </c>
      <c r="P13" s="20" t="s">
        <v>169</v>
      </c>
      <c r="Q13" s="53">
        <v>17</v>
      </c>
    </row>
    <row r="14" spans="1:17" x14ac:dyDescent="0.3">
      <c r="A14" s="10" t="s">
        <v>13</v>
      </c>
      <c r="B14" s="49">
        <v>21</v>
      </c>
      <c r="E14" s="10" t="s">
        <v>25</v>
      </c>
      <c r="F14" s="49">
        <v>21</v>
      </c>
      <c r="G14" s="8"/>
      <c r="J14" s="10" t="s">
        <v>49</v>
      </c>
      <c r="K14" s="49">
        <v>17</v>
      </c>
      <c r="M14" s="10">
        <v>1</v>
      </c>
      <c r="N14" s="49">
        <v>11</v>
      </c>
      <c r="P14" s="20" t="s">
        <v>170</v>
      </c>
      <c r="Q14" s="53">
        <v>53</v>
      </c>
    </row>
    <row r="15" spans="1:17" x14ac:dyDescent="0.3">
      <c r="A15" s="10" t="s">
        <v>14</v>
      </c>
      <c r="B15" s="49">
        <v>50</v>
      </c>
      <c r="E15" s="10" t="s">
        <v>23</v>
      </c>
      <c r="F15" s="49">
        <v>23</v>
      </c>
      <c r="G15" s="8"/>
      <c r="J15" s="10" t="s">
        <v>137</v>
      </c>
      <c r="K15" s="49">
        <v>10</v>
      </c>
      <c r="M15" s="10">
        <v>2</v>
      </c>
      <c r="N15" s="49">
        <v>8</v>
      </c>
      <c r="P15" s="20" t="s">
        <v>171</v>
      </c>
      <c r="Q15" s="53">
        <v>21</v>
      </c>
    </row>
    <row r="16" spans="1:17" x14ac:dyDescent="0.3">
      <c r="A16" s="10" t="s">
        <v>27</v>
      </c>
      <c r="B16" s="49">
        <v>24</v>
      </c>
      <c r="E16" s="10" t="s">
        <v>14</v>
      </c>
      <c r="F16" s="49">
        <v>45</v>
      </c>
      <c r="G16" s="8"/>
      <c r="J16" s="10" t="s">
        <v>138</v>
      </c>
      <c r="K16" s="49">
        <v>100</v>
      </c>
      <c r="M16" s="10">
        <v>3</v>
      </c>
      <c r="N16" s="49">
        <v>5</v>
      </c>
      <c r="P16" s="20" t="s">
        <v>173</v>
      </c>
      <c r="Q16" s="53">
        <v>9</v>
      </c>
    </row>
    <row r="17" spans="1:17" x14ac:dyDescent="0.3">
      <c r="A17" s="10" t="s">
        <v>137</v>
      </c>
      <c r="B17" s="49">
        <v>5</v>
      </c>
      <c r="E17" s="10" t="s">
        <v>137</v>
      </c>
      <c r="F17" s="49">
        <v>11</v>
      </c>
      <c r="G17" s="8"/>
      <c r="M17" s="10">
        <v>4</v>
      </c>
      <c r="N17" s="49">
        <v>8</v>
      </c>
      <c r="P17" s="20" t="s">
        <v>138</v>
      </c>
      <c r="Q17" s="53">
        <v>100</v>
      </c>
    </row>
    <row r="18" spans="1:17" x14ac:dyDescent="0.3">
      <c r="A18" s="10" t="s">
        <v>138</v>
      </c>
      <c r="B18" s="49">
        <v>100</v>
      </c>
      <c r="E18" s="10" t="s">
        <v>138</v>
      </c>
      <c r="F18" s="49">
        <v>100</v>
      </c>
      <c r="G18" s="8"/>
      <c r="M18" s="10">
        <v>5</v>
      </c>
      <c r="N18" s="49">
        <v>9</v>
      </c>
    </row>
    <row r="19" spans="1:17" x14ac:dyDescent="0.3">
      <c r="M19" s="10">
        <v>6</v>
      </c>
      <c r="N19" s="49">
        <v>5</v>
      </c>
    </row>
    <row r="20" spans="1:17" x14ac:dyDescent="0.3">
      <c r="M20" s="10">
        <v>7</v>
      </c>
      <c r="N20" s="49">
        <v>8</v>
      </c>
    </row>
    <row r="21" spans="1:17" x14ac:dyDescent="0.3">
      <c r="M21" s="10">
        <v>8</v>
      </c>
      <c r="N21" s="49">
        <v>5</v>
      </c>
    </row>
    <row r="22" spans="1:17" x14ac:dyDescent="0.3">
      <c r="A22" s="41" t="s">
        <v>151</v>
      </c>
      <c r="B22" s="40"/>
      <c r="C22" s="8"/>
      <c r="E22" s="9" t="s">
        <v>152</v>
      </c>
      <c r="F22" s="8"/>
      <c r="J22" s="41" t="s">
        <v>153</v>
      </c>
      <c r="K22" s="40"/>
      <c r="M22" s="10">
        <v>9</v>
      </c>
      <c r="N22" s="49">
        <v>8</v>
      </c>
    </row>
    <row r="23" spans="1:17" x14ac:dyDescent="0.3">
      <c r="A23" s="8" t="s">
        <v>136</v>
      </c>
      <c r="B23" s="8" t="s">
        <v>139</v>
      </c>
      <c r="C23" s="8"/>
      <c r="E23" s="8" t="s">
        <v>136</v>
      </c>
      <c r="F23" s="8" t="s">
        <v>139</v>
      </c>
      <c r="J23" s="8" t="s">
        <v>136</v>
      </c>
      <c r="K23" s="8" t="s">
        <v>139</v>
      </c>
      <c r="M23" s="10">
        <v>10</v>
      </c>
      <c r="N23" s="49">
        <v>7</v>
      </c>
    </row>
    <row r="24" spans="1:17" x14ac:dyDescent="0.3">
      <c r="A24" s="10" t="s">
        <v>20</v>
      </c>
      <c r="B24" s="49">
        <v>37</v>
      </c>
      <c r="C24" s="8"/>
      <c r="E24" s="10" t="s">
        <v>17</v>
      </c>
      <c r="F24" s="49">
        <v>69</v>
      </c>
      <c r="J24" s="10">
        <v>0</v>
      </c>
      <c r="K24" s="49">
        <v>20</v>
      </c>
      <c r="M24" s="10">
        <v>11</v>
      </c>
      <c r="N24" s="49">
        <v>8</v>
      </c>
    </row>
    <row r="25" spans="1:17" x14ac:dyDescent="0.3">
      <c r="A25" s="10" t="s">
        <v>30</v>
      </c>
      <c r="B25" s="49">
        <v>31</v>
      </c>
      <c r="C25" s="8"/>
      <c r="E25" s="10" t="s">
        <v>21</v>
      </c>
      <c r="F25" s="49">
        <v>22</v>
      </c>
      <c r="J25" s="10">
        <v>1</v>
      </c>
      <c r="K25" s="49">
        <v>10</v>
      </c>
      <c r="M25" s="10" t="s">
        <v>137</v>
      </c>
      <c r="N25" s="49">
        <v>10</v>
      </c>
    </row>
    <row r="26" spans="1:17" x14ac:dyDescent="0.3">
      <c r="A26" s="10" t="s">
        <v>16</v>
      </c>
      <c r="B26" s="49">
        <v>17</v>
      </c>
      <c r="C26" s="8"/>
      <c r="E26" s="10" t="s">
        <v>137</v>
      </c>
      <c r="F26" s="49">
        <v>9</v>
      </c>
      <c r="J26" s="10">
        <v>2</v>
      </c>
      <c r="K26" s="49">
        <v>15</v>
      </c>
      <c r="M26" s="10" t="s">
        <v>138</v>
      </c>
      <c r="N26" s="49">
        <v>100</v>
      </c>
    </row>
    <row r="27" spans="1:17" x14ac:dyDescent="0.3">
      <c r="A27" s="10" t="s">
        <v>137</v>
      </c>
      <c r="B27" s="49">
        <v>15</v>
      </c>
      <c r="C27" s="8"/>
      <c r="E27" s="10" t="s">
        <v>138</v>
      </c>
      <c r="F27" s="49">
        <v>100</v>
      </c>
      <c r="J27" s="10">
        <v>3</v>
      </c>
      <c r="K27" s="49">
        <v>9</v>
      </c>
    </row>
    <row r="28" spans="1:17" x14ac:dyDescent="0.3">
      <c r="A28" s="10" t="s">
        <v>138</v>
      </c>
      <c r="B28" s="49">
        <v>100</v>
      </c>
      <c r="C28" s="8"/>
      <c r="J28" s="10">
        <v>4</v>
      </c>
      <c r="K28" s="49">
        <v>12</v>
      </c>
      <c r="M28" s="39" t="s">
        <v>144</v>
      </c>
      <c r="N28" s="39"/>
    </row>
    <row r="29" spans="1:17" x14ac:dyDescent="0.3">
      <c r="J29" s="10">
        <v>5</v>
      </c>
      <c r="K29" s="49">
        <v>13</v>
      </c>
      <c r="M29" t="s">
        <v>145</v>
      </c>
      <c r="N29" t="s">
        <v>146</v>
      </c>
    </row>
    <row r="30" spans="1:17" x14ac:dyDescent="0.3">
      <c r="J30" s="10">
        <v>6</v>
      </c>
      <c r="K30" s="49">
        <v>15</v>
      </c>
      <c r="M30" s="44">
        <v>40</v>
      </c>
      <c r="N30" s="44">
        <v>19.2</v>
      </c>
    </row>
    <row r="31" spans="1:17" x14ac:dyDescent="0.3">
      <c r="J31" s="10" t="s">
        <v>137</v>
      </c>
      <c r="K31" s="49">
        <v>6</v>
      </c>
    </row>
    <row r="32" spans="1:17" x14ac:dyDescent="0.3">
      <c r="J32" s="10" t="s">
        <v>138</v>
      </c>
      <c r="K32" s="49">
        <v>100</v>
      </c>
    </row>
    <row r="34" spans="1:14" x14ac:dyDescent="0.3">
      <c r="A34" s="12" t="s">
        <v>155</v>
      </c>
      <c r="B34" s="13"/>
      <c r="C34" s="13"/>
      <c r="E34" s="36" t="s">
        <v>157</v>
      </c>
      <c r="F34" s="36"/>
      <c r="G34" s="36"/>
      <c r="H34" s="36"/>
      <c r="I34" s="13"/>
      <c r="M34" s="28" t="s">
        <v>180</v>
      </c>
      <c r="N34" s="29"/>
    </row>
    <row r="35" spans="1:14" x14ac:dyDescent="0.3">
      <c r="A35" s="13"/>
      <c r="B35" s="13"/>
      <c r="C35" s="13"/>
      <c r="E35" s="13" t="s">
        <v>139</v>
      </c>
      <c r="F35" s="13" t="s">
        <v>156</v>
      </c>
      <c r="G35" s="13"/>
      <c r="H35" s="13"/>
      <c r="I35" s="13"/>
      <c r="M35" s="29" t="s">
        <v>136</v>
      </c>
      <c r="N35" s="29" t="s">
        <v>139</v>
      </c>
    </row>
    <row r="36" spans="1:14" x14ac:dyDescent="0.3">
      <c r="A36" s="13" t="s">
        <v>136</v>
      </c>
      <c r="B36" s="13" t="s">
        <v>140</v>
      </c>
      <c r="C36" s="13" t="s">
        <v>154</v>
      </c>
      <c r="E36" s="13" t="s">
        <v>136</v>
      </c>
      <c r="F36" s="13" t="s">
        <v>15</v>
      </c>
      <c r="G36" s="13" t="s">
        <v>49</v>
      </c>
      <c r="H36" s="13" t="s">
        <v>137</v>
      </c>
      <c r="I36" s="13" t="s">
        <v>138</v>
      </c>
      <c r="M36" s="30" t="s">
        <v>162</v>
      </c>
      <c r="N36" s="54">
        <v>44</v>
      </c>
    </row>
    <row r="37" spans="1:14" x14ac:dyDescent="0.3">
      <c r="A37" s="14" t="s">
        <v>19</v>
      </c>
      <c r="B37" s="49">
        <v>82</v>
      </c>
      <c r="C37" s="49">
        <v>18</v>
      </c>
      <c r="E37" s="14" t="s">
        <v>19</v>
      </c>
      <c r="F37" s="46">
        <v>28</v>
      </c>
      <c r="G37" s="50">
        <v>9</v>
      </c>
      <c r="H37" s="46">
        <v>7</v>
      </c>
      <c r="I37" s="46">
        <v>44</v>
      </c>
      <c r="M37" s="30" t="s">
        <v>161</v>
      </c>
      <c r="N37" s="54">
        <v>24</v>
      </c>
    </row>
    <row r="38" spans="1:14" x14ac:dyDescent="0.3">
      <c r="A38" s="14" t="s">
        <v>12</v>
      </c>
      <c r="B38" s="45">
        <v>81</v>
      </c>
      <c r="C38" s="45">
        <v>19</v>
      </c>
      <c r="E38" s="14" t="s">
        <v>12</v>
      </c>
      <c r="F38" s="46">
        <v>38</v>
      </c>
      <c r="G38" s="50">
        <v>6</v>
      </c>
      <c r="H38" s="46">
        <v>3</v>
      </c>
      <c r="I38" s="46">
        <v>47</v>
      </c>
      <c r="M38" s="30" t="s">
        <v>14</v>
      </c>
      <c r="N38" s="54">
        <v>21</v>
      </c>
    </row>
    <row r="39" spans="1:14" x14ac:dyDescent="0.3">
      <c r="A39" s="14" t="s">
        <v>137</v>
      </c>
      <c r="B39" s="45">
        <v>79</v>
      </c>
      <c r="C39" s="45">
        <v>18</v>
      </c>
      <c r="E39" s="14" t="s">
        <v>137</v>
      </c>
      <c r="F39" s="46">
        <v>7</v>
      </c>
      <c r="G39" s="46">
        <v>2</v>
      </c>
      <c r="H39" s="46"/>
      <c r="I39" s="46">
        <v>9</v>
      </c>
      <c r="M39" s="30" t="s">
        <v>160</v>
      </c>
      <c r="N39" s="54">
        <v>11</v>
      </c>
    </row>
    <row r="40" spans="1:14" x14ac:dyDescent="0.3">
      <c r="A40" s="14" t="s">
        <v>138</v>
      </c>
      <c r="B40" s="45">
        <v>82</v>
      </c>
      <c r="C40" s="45">
        <v>18</v>
      </c>
      <c r="E40" s="14" t="s">
        <v>138</v>
      </c>
      <c r="F40" s="46">
        <v>73</v>
      </c>
      <c r="G40" s="46">
        <v>17</v>
      </c>
      <c r="H40" s="46">
        <v>10</v>
      </c>
      <c r="I40" s="46">
        <v>100</v>
      </c>
      <c r="M40" s="30" t="s">
        <v>138</v>
      </c>
      <c r="N40" s="54">
        <v>100</v>
      </c>
    </row>
    <row r="43" spans="1:14" x14ac:dyDescent="0.3">
      <c r="A43" s="34" t="s">
        <v>166</v>
      </c>
      <c r="B43" s="34"/>
      <c r="C43" s="34"/>
      <c r="E43" s="34" t="s">
        <v>167</v>
      </c>
      <c r="F43" s="34"/>
      <c r="G43" s="13"/>
      <c r="H43" s="13"/>
      <c r="I43" s="13"/>
    </row>
    <row r="44" spans="1:14" x14ac:dyDescent="0.3">
      <c r="A44" s="13"/>
      <c r="B44" s="13"/>
      <c r="E44" s="13" t="s">
        <v>139</v>
      </c>
      <c r="F44" s="13" t="s">
        <v>156</v>
      </c>
      <c r="G44" s="13"/>
      <c r="H44" s="13"/>
      <c r="I44" s="13"/>
    </row>
    <row r="45" spans="1:14" x14ac:dyDescent="0.3">
      <c r="A45" s="13" t="s">
        <v>136</v>
      </c>
      <c r="B45" s="13" t="s">
        <v>165</v>
      </c>
      <c r="E45" s="13" t="s">
        <v>136</v>
      </c>
      <c r="F45" s="13" t="s">
        <v>17</v>
      </c>
      <c r="G45" s="13" t="s">
        <v>21</v>
      </c>
      <c r="H45" s="13" t="s">
        <v>137</v>
      </c>
      <c r="I45" s="13" t="s">
        <v>138</v>
      </c>
    </row>
    <row r="46" spans="1:14" x14ac:dyDescent="0.3">
      <c r="A46" s="14">
        <v>0</v>
      </c>
      <c r="B46" s="17">
        <v>5.4117647058823533</v>
      </c>
      <c r="E46" s="14" t="s">
        <v>15</v>
      </c>
      <c r="F46" s="46">
        <v>50</v>
      </c>
      <c r="G46" s="46">
        <v>15</v>
      </c>
      <c r="H46" s="45">
        <v>8</v>
      </c>
      <c r="I46" s="45">
        <v>73</v>
      </c>
    </row>
    <row r="47" spans="1:14" x14ac:dyDescent="0.3">
      <c r="A47" s="14">
        <v>1</v>
      </c>
      <c r="B47" s="17">
        <v>3.4444444444444446</v>
      </c>
      <c r="E47" s="14" t="s">
        <v>49</v>
      </c>
      <c r="F47" s="46">
        <v>11</v>
      </c>
      <c r="G47" s="46">
        <v>6</v>
      </c>
      <c r="H47" s="45"/>
      <c r="I47" s="45">
        <v>17</v>
      </c>
    </row>
    <row r="48" spans="1:14" x14ac:dyDescent="0.3">
      <c r="A48" s="14">
        <v>2</v>
      </c>
      <c r="B48" s="17">
        <v>5.9230769230769234</v>
      </c>
      <c r="E48" s="14" t="s">
        <v>137</v>
      </c>
      <c r="F48" s="46">
        <v>8</v>
      </c>
      <c r="G48" s="46">
        <v>1</v>
      </c>
      <c r="H48" s="45">
        <v>1</v>
      </c>
      <c r="I48" s="45">
        <v>10</v>
      </c>
    </row>
    <row r="49" spans="1:10" x14ac:dyDescent="0.3">
      <c r="A49" s="14">
        <v>3</v>
      </c>
      <c r="B49" s="17">
        <v>6</v>
      </c>
      <c r="E49" s="14" t="s">
        <v>138</v>
      </c>
      <c r="F49" s="46">
        <v>69</v>
      </c>
      <c r="G49" s="46">
        <v>22</v>
      </c>
      <c r="H49" s="45">
        <v>9</v>
      </c>
      <c r="I49" s="45">
        <v>100</v>
      </c>
    </row>
    <row r="50" spans="1:10" x14ac:dyDescent="0.3">
      <c r="A50" s="14">
        <v>4</v>
      </c>
      <c r="B50" s="17">
        <v>5.416666666666667</v>
      </c>
    </row>
    <row r="51" spans="1:10" x14ac:dyDescent="0.3">
      <c r="A51" s="14">
        <v>5</v>
      </c>
      <c r="B51" s="17">
        <v>4</v>
      </c>
    </row>
    <row r="52" spans="1:10" x14ac:dyDescent="0.3">
      <c r="A52" s="14">
        <v>6</v>
      </c>
      <c r="B52" s="17">
        <v>6.0769230769230766</v>
      </c>
    </row>
    <row r="53" spans="1:10" x14ac:dyDescent="0.3">
      <c r="A53" s="14" t="s">
        <v>137</v>
      </c>
      <c r="B53" s="17">
        <v>5.833333333333333</v>
      </c>
    </row>
    <row r="54" spans="1:10" x14ac:dyDescent="0.3">
      <c r="A54" s="14" t="s">
        <v>138</v>
      </c>
      <c r="B54" s="17">
        <v>5.2777777777777777</v>
      </c>
    </row>
    <row r="57" spans="1:10" x14ac:dyDescent="0.3">
      <c r="A57" s="37" t="s">
        <v>172</v>
      </c>
      <c r="B57" s="37"/>
      <c r="C57" s="37"/>
      <c r="D57" s="21"/>
      <c r="F57" s="38" t="s">
        <v>175</v>
      </c>
      <c r="G57" s="38"/>
      <c r="H57" s="38"/>
      <c r="I57" s="38"/>
      <c r="J57" s="13"/>
    </row>
    <row r="58" spans="1:10" x14ac:dyDescent="0.3">
      <c r="A58" s="21"/>
      <c r="B58" s="21"/>
      <c r="C58" s="21"/>
      <c r="D58" s="21"/>
      <c r="F58" s="13" t="s">
        <v>139</v>
      </c>
      <c r="G58" s="13" t="s">
        <v>156</v>
      </c>
      <c r="H58" s="13"/>
      <c r="I58" s="13"/>
      <c r="J58" s="13"/>
    </row>
    <row r="59" spans="1:10" x14ac:dyDescent="0.3">
      <c r="A59" s="21" t="s">
        <v>136</v>
      </c>
      <c r="B59" s="21" t="s">
        <v>139</v>
      </c>
      <c r="C59" s="21" t="s">
        <v>185</v>
      </c>
      <c r="D59" s="21"/>
      <c r="F59" s="13" t="s">
        <v>136</v>
      </c>
      <c r="G59" s="13" t="s">
        <v>17</v>
      </c>
      <c r="H59" s="13" t="s">
        <v>21</v>
      </c>
      <c r="I59" s="13" t="s">
        <v>137</v>
      </c>
      <c r="J59" s="13" t="s">
        <v>138</v>
      </c>
    </row>
    <row r="60" spans="1:10" x14ac:dyDescent="0.3">
      <c r="A60" s="22" t="s">
        <v>170</v>
      </c>
      <c r="B60" s="23">
        <v>53</v>
      </c>
      <c r="C60" s="23">
        <v>5.5434782608695654</v>
      </c>
      <c r="D60" s="21"/>
      <c r="F60" s="14" t="s">
        <v>169</v>
      </c>
      <c r="G60" s="46">
        <v>12</v>
      </c>
      <c r="H60" s="45">
        <v>4</v>
      </c>
      <c r="I60" s="45">
        <v>1</v>
      </c>
      <c r="J60" s="45">
        <v>17</v>
      </c>
    </row>
    <row r="61" spans="1:10" x14ac:dyDescent="0.3">
      <c r="A61" s="22" t="s">
        <v>171</v>
      </c>
      <c r="B61" s="23">
        <v>21</v>
      </c>
      <c r="C61" s="23">
        <v>5.5789473684210522</v>
      </c>
      <c r="D61" s="21"/>
      <c r="F61" s="14" t="s">
        <v>173</v>
      </c>
      <c r="G61" s="46">
        <v>5</v>
      </c>
      <c r="H61" s="45">
        <v>3</v>
      </c>
      <c r="I61" s="45">
        <v>1</v>
      </c>
      <c r="J61" s="45">
        <v>9</v>
      </c>
    </row>
    <row r="62" spans="1:10" x14ac:dyDescent="0.3">
      <c r="A62" s="22" t="s">
        <v>169</v>
      </c>
      <c r="B62" s="23">
        <v>17</v>
      </c>
      <c r="C62" s="23">
        <v>3.9411764705882355</v>
      </c>
      <c r="D62" s="21"/>
      <c r="F62" s="24" t="s">
        <v>170</v>
      </c>
      <c r="G62" s="47">
        <v>38</v>
      </c>
      <c r="H62" s="48">
        <v>10</v>
      </c>
      <c r="I62" s="48">
        <v>5</v>
      </c>
      <c r="J62" s="48">
        <v>53</v>
      </c>
    </row>
    <row r="63" spans="1:10" x14ac:dyDescent="0.3">
      <c r="A63" s="22" t="s">
        <v>173</v>
      </c>
      <c r="B63" s="23">
        <v>9</v>
      </c>
      <c r="C63" s="23">
        <v>5.875</v>
      </c>
      <c r="D63" s="21"/>
      <c r="F63" s="14" t="s">
        <v>171</v>
      </c>
      <c r="G63" s="46">
        <v>14</v>
      </c>
      <c r="H63" s="45">
        <v>5</v>
      </c>
      <c r="I63" s="45">
        <v>2</v>
      </c>
      <c r="J63" s="45">
        <v>21</v>
      </c>
    </row>
    <row r="64" spans="1:10" x14ac:dyDescent="0.3">
      <c r="A64" s="22" t="s">
        <v>138</v>
      </c>
      <c r="B64" s="23">
        <v>100</v>
      </c>
      <c r="C64" s="23">
        <v>5.2777777777777777</v>
      </c>
      <c r="D64" s="21"/>
      <c r="F64" s="14" t="s">
        <v>138</v>
      </c>
      <c r="G64" s="46">
        <v>69</v>
      </c>
      <c r="H64" s="45">
        <v>22</v>
      </c>
      <c r="I64" s="45">
        <v>9</v>
      </c>
      <c r="J64" s="45">
        <v>100</v>
      </c>
    </row>
    <row r="67" spans="1:10" x14ac:dyDescent="0.3">
      <c r="A67" s="12" t="s">
        <v>179</v>
      </c>
      <c r="B67" s="13"/>
      <c r="F67" s="16" t="s">
        <v>177</v>
      </c>
      <c r="G67" s="13"/>
      <c r="H67" s="13"/>
      <c r="I67" s="13"/>
      <c r="J67" s="13"/>
    </row>
    <row r="68" spans="1:10" x14ac:dyDescent="0.3">
      <c r="A68" s="13" t="s">
        <v>136</v>
      </c>
      <c r="B68" s="13" t="s">
        <v>176</v>
      </c>
      <c r="F68" s="13" t="s">
        <v>139</v>
      </c>
      <c r="G68" s="13" t="s">
        <v>156</v>
      </c>
      <c r="H68" s="13"/>
      <c r="I68" s="13"/>
      <c r="J68" s="13"/>
    </row>
    <row r="69" spans="1:10" x14ac:dyDescent="0.3">
      <c r="A69" s="14" t="s">
        <v>14</v>
      </c>
      <c r="B69" s="17">
        <v>3.4736842105263159</v>
      </c>
      <c r="F69" s="13" t="s">
        <v>136</v>
      </c>
      <c r="G69" s="13" t="s">
        <v>17</v>
      </c>
      <c r="H69" s="13" t="s">
        <v>21</v>
      </c>
      <c r="I69" s="13" t="s">
        <v>137</v>
      </c>
      <c r="J69" s="13" t="s">
        <v>138</v>
      </c>
    </row>
    <row r="70" spans="1:10" x14ac:dyDescent="0.3">
      <c r="A70" s="14" t="s">
        <v>162</v>
      </c>
      <c r="B70" s="17">
        <v>2.9285714285714284</v>
      </c>
      <c r="F70" s="14" t="s">
        <v>14</v>
      </c>
      <c r="G70" s="46">
        <v>15</v>
      </c>
      <c r="H70" s="45">
        <v>5</v>
      </c>
      <c r="I70" s="45">
        <v>1</v>
      </c>
      <c r="J70" s="45">
        <v>21</v>
      </c>
    </row>
    <row r="71" spans="1:10" x14ac:dyDescent="0.3">
      <c r="A71" s="14" t="s">
        <v>161</v>
      </c>
      <c r="B71" s="17">
        <v>2.5454545454545454</v>
      </c>
      <c r="F71" s="24" t="s">
        <v>162</v>
      </c>
      <c r="G71" s="47">
        <v>33</v>
      </c>
      <c r="H71" s="48">
        <v>8</v>
      </c>
      <c r="I71" s="48">
        <v>3</v>
      </c>
      <c r="J71" s="48">
        <v>44</v>
      </c>
    </row>
    <row r="72" spans="1:10" x14ac:dyDescent="0.3">
      <c r="A72" s="14" t="s">
        <v>160</v>
      </c>
      <c r="B72" s="17">
        <v>2.2727272727272729</v>
      </c>
      <c r="F72" s="14" t="s">
        <v>161</v>
      </c>
      <c r="G72" s="46">
        <v>16</v>
      </c>
      <c r="H72" s="45">
        <v>4</v>
      </c>
      <c r="I72" s="45">
        <v>4</v>
      </c>
      <c r="J72" s="45">
        <v>24</v>
      </c>
    </row>
    <row r="73" spans="1:10" x14ac:dyDescent="0.3">
      <c r="A73" s="14" t="s">
        <v>138</v>
      </c>
      <c r="B73" s="17">
        <v>2.8723404255319149</v>
      </c>
      <c r="F73" s="14" t="s">
        <v>160</v>
      </c>
      <c r="G73" s="46">
        <v>5</v>
      </c>
      <c r="H73" s="45">
        <v>5</v>
      </c>
      <c r="I73" s="45">
        <v>1</v>
      </c>
      <c r="J73" s="45">
        <v>11</v>
      </c>
    </row>
    <row r="74" spans="1:10" x14ac:dyDescent="0.3">
      <c r="F74" s="14" t="s">
        <v>138</v>
      </c>
      <c r="G74" s="46">
        <v>69</v>
      </c>
      <c r="H74" s="45">
        <v>22</v>
      </c>
      <c r="I74" s="45">
        <v>9</v>
      </c>
      <c r="J74" s="45">
        <v>100</v>
      </c>
    </row>
    <row r="76" spans="1:10" x14ac:dyDescent="0.3">
      <c r="A76" s="16" t="s">
        <v>178</v>
      </c>
      <c r="B76" s="13"/>
      <c r="C76" s="13"/>
      <c r="D76" s="13"/>
      <c r="E76" s="13"/>
    </row>
    <row r="77" spans="1:10" x14ac:dyDescent="0.3">
      <c r="A77" s="13" t="s">
        <v>139</v>
      </c>
      <c r="B77" s="13" t="s">
        <v>156</v>
      </c>
      <c r="C77" s="13"/>
      <c r="D77" s="13"/>
      <c r="E77" s="13"/>
      <c r="G77" s="12" t="s">
        <v>184</v>
      </c>
      <c r="H77" s="13"/>
    </row>
    <row r="78" spans="1:10" x14ac:dyDescent="0.3">
      <c r="A78" s="13" t="s">
        <v>136</v>
      </c>
      <c r="B78" s="13" t="s">
        <v>15</v>
      </c>
      <c r="C78" s="13" t="s">
        <v>49</v>
      </c>
      <c r="D78" s="13" t="s">
        <v>137</v>
      </c>
      <c r="E78" s="13" t="s">
        <v>138</v>
      </c>
      <c r="G78" s="13" t="s">
        <v>136</v>
      </c>
      <c r="H78" s="13" t="s">
        <v>183</v>
      </c>
    </row>
    <row r="79" spans="1:10" x14ac:dyDescent="0.3">
      <c r="A79" s="14" t="s">
        <v>14</v>
      </c>
      <c r="B79" s="46">
        <v>19</v>
      </c>
      <c r="C79" s="45">
        <v>2</v>
      </c>
      <c r="D79" s="45"/>
      <c r="E79" s="45">
        <v>21</v>
      </c>
      <c r="G79" s="14" t="s">
        <v>169</v>
      </c>
      <c r="H79" s="45">
        <v>1.625</v>
      </c>
    </row>
    <row r="80" spans="1:10" x14ac:dyDescent="0.3">
      <c r="A80" s="27" t="s">
        <v>162</v>
      </c>
      <c r="B80" s="51">
        <v>31</v>
      </c>
      <c r="C80" s="52">
        <v>7</v>
      </c>
      <c r="D80" s="52">
        <v>6</v>
      </c>
      <c r="E80" s="52">
        <v>44</v>
      </c>
      <c r="G80" s="14" t="s">
        <v>173</v>
      </c>
      <c r="H80" s="45">
        <v>2</v>
      </c>
    </row>
    <row r="81" spans="1:8" x14ac:dyDescent="0.3">
      <c r="A81" s="14" t="s">
        <v>161</v>
      </c>
      <c r="B81" s="46">
        <v>16</v>
      </c>
      <c r="C81" s="45">
        <v>4</v>
      </c>
      <c r="D81" s="45">
        <v>4</v>
      </c>
      <c r="E81" s="45">
        <v>24</v>
      </c>
      <c r="G81" s="14" t="s">
        <v>170</v>
      </c>
      <c r="H81" s="45">
        <v>1.6666666666666667</v>
      </c>
    </row>
    <row r="82" spans="1:8" x14ac:dyDescent="0.3">
      <c r="A82" s="14" t="s">
        <v>160</v>
      </c>
      <c r="B82" s="46">
        <v>7</v>
      </c>
      <c r="C82" s="45">
        <v>4</v>
      </c>
      <c r="D82" s="45"/>
      <c r="E82" s="45">
        <v>11</v>
      </c>
      <c r="G82" s="14" t="s">
        <v>171</v>
      </c>
      <c r="H82" s="45">
        <v>1.6842105263157894</v>
      </c>
    </row>
    <row r="83" spans="1:8" x14ac:dyDescent="0.3">
      <c r="A83" s="14" t="s">
        <v>138</v>
      </c>
      <c r="B83" s="46">
        <v>73</v>
      </c>
      <c r="C83" s="45">
        <v>17</v>
      </c>
      <c r="D83" s="45">
        <v>10</v>
      </c>
      <c r="E83" s="45">
        <v>100</v>
      </c>
      <c r="G83" s="14" t="s">
        <v>138</v>
      </c>
      <c r="H83" s="45">
        <v>1.6947368421052631</v>
      </c>
    </row>
    <row r="86" spans="1:8" x14ac:dyDescent="0.3">
      <c r="A86" s="25" t="s">
        <v>181</v>
      </c>
      <c r="B86" s="13"/>
      <c r="C86" s="13"/>
      <c r="D86" s="13"/>
      <c r="E86" s="13"/>
    </row>
    <row r="87" spans="1:8" x14ac:dyDescent="0.3">
      <c r="A87" s="13"/>
      <c r="B87" s="13"/>
      <c r="C87" s="13"/>
      <c r="D87" s="13"/>
      <c r="E87" s="13"/>
      <c r="G87" s="26"/>
    </row>
    <row r="88" spans="1:8" x14ac:dyDescent="0.3">
      <c r="A88" s="13" t="s">
        <v>139</v>
      </c>
      <c r="B88" s="13" t="s">
        <v>156</v>
      </c>
      <c r="C88" s="13"/>
      <c r="D88" s="13"/>
      <c r="E88" s="13"/>
    </row>
    <row r="89" spans="1:8" x14ac:dyDescent="0.3">
      <c r="A89" s="13" t="s">
        <v>136</v>
      </c>
      <c r="B89" s="13" t="s">
        <v>15</v>
      </c>
      <c r="C89" s="13" t="s">
        <v>49</v>
      </c>
      <c r="D89" s="13" t="s">
        <v>137</v>
      </c>
      <c r="E89" s="13" t="s">
        <v>138</v>
      </c>
    </row>
    <row r="90" spans="1:8" x14ac:dyDescent="0.3">
      <c r="A90" s="14">
        <v>0</v>
      </c>
      <c r="B90" s="46">
        <v>18</v>
      </c>
      <c r="C90" s="46">
        <v>1</v>
      </c>
      <c r="D90" s="45">
        <v>1</v>
      </c>
      <c r="E90" s="45">
        <v>20</v>
      </c>
    </row>
    <row r="91" spans="1:8" x14ac:dyDescent="0.3">
      <c r="A91" s="14">
        <v>1</v>
      </c>
      <c r="B91" s="46">
        <v>9</v>
      </c>
      <c r="C91" s="46">
        <v>1</v>
      </c>
      <c r="D91" s="45"/>
      <c r="E91" s="45">
        <v>10</v>
      </c>
    </row>
    <row r="92" spans="1:8" x14ac:dyDescent="0.3">
      <c r="A92" s="14">
        <v>2</v>
      </c>
      <c r="B92" s="46">
        <v>5</v>
      </c>
      <c r="C92" s="46">
        <v>7</v>
      </c>
      <c r="D92" s="45">
        <v>3</v>
      </c>
      <c r="E92" s="45">
        <v>15</v>
      </c>
    </row>
    <row r="93" spans="1:8" x14ac:dyDescent="0.3">
      <c r="A93" s="14">
        <v>3</v>
      </c>
      <c r="B93" s="46">
        <v>4</v>
      </c>
      <c r="C93" s="46">
        <v>3</v>
      </c>
      <c r="D93" s="45">
        <v>2</v>
      </c>
      <c r="E93" s="45">
        <v>9</v>
      </c>
    </row>
    <row r="94" spans="1:8" x14ac:dyDescent="0.3">
      <c r="A94" s="14">
        <v>4</v>
      </c>
      <c r="B94" s="46">
        <v>10</v>
      </c>
      <c r="C94" s="46">
        <v>1</v>
      </c>
      <c r="D94" s="45">
        <v>1</v>
      </c>
      <c r="E94" s="45">
        <v>12</v>
      </c>
    </row>
    <row r="95" spans="1:8" x14ac:dyDescent="0.3">
      <c r="A95" s="14">
        <v>5</v>
      </c>
      <c r="B95" s="46">
        <v>9</v>
      </c>
      <c r="C95" s="46">
        <v>3</v>
      </c>
      <c r="D95" s="45">
        <v>1</v>
      </c>
      <c r="E95" s="45">
        <v>13</v>
      </c>
    </row>
    <row r="96" spans="1:8" x14ac:dyDescent="0.3">
      <c r="A96" s="14">
        <v>6</v>
      </c>
      <c r="B96" s="46">
        <v>12</v>
      </c>
      <c r="C96" s="46">
        <v>1</v>
      </c>
      <c r="D96" s="45">
        <v>2</v>
      </c>
      <c r="E96" s="45">
        <v>15</v>
      </c>
    </row>
    <row r="97" spans="1:5" x14ac:dyDescent="0.3">
      <c r="A97" s="14" t="s">
        <v>137</v>
      </c>
      <c r="B97" s="46">
        <v>6</v>
      </c>
      <c r="C97" s="46"/>
      <c r="D97" s="45"/>
      <c r="E97" s="45">
        <v>6</v>
      </c>
    </row>
    <row r="98" spans="1:5" x14ac:dyDescent="0.3">
      <c r="A98" s="14" t="s">
        <v>138</v>
      </c>
      <c r="B98" s="46">
        <v>73</v>
      </c>
      <c r="C98" s="46">
        <v>17</v>
      </c>
      <c r="D98" s="45">
        <v>10</v>
      </c>
      <c r="E98" s="45">
        <v>100</v>
      </c>
    </row>
  </sheetData>
  <mergeCells count="15">
    <mergeCell ref="E1:G1"/>
    <mergeCell ref="J1:K1"/>
    <mergeCell ref="A11:B11"/>
    <mergeCell ref="E11:G11"/>
    <mergeCell ref="J11:K11"/>
    <mergeCell ref="E43:F43"/>
    <mergeCell ref="P11:Q11"/>
    <mergeCell ref="E34:H34"/>
    <mergeCell ref="A57:C57"/>
    <mergeCell ref="F57:I57"/>
    <mergeCell ref="A43:C43"/>
    <mergeCell ref="M28:N28"/>
    <mergeCell ref="M11:N11"/>
    <mergeCell ref="A22:B22"/>
    <mergeCell ref="J22:K22"/>
  </mergeCells>
  <pageMargins left="0.7" right="0.7" top="0.75" bottom="0.75" header="0.3" footer="0.3"/>
  <pageSetup orientation="portrait" r:id="rId2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5CE994-28A1-4812-8960-C649E30A220E}">
  <dimension ref="A1:W26"/>
  <sheetViews>
    <sheetView tabSelected="1" zoomScale="70" zoomScaleNormal="70" workbookViewId="0">
      <selection activeCell="AF32" sqref="AF32"/>
    </sheetView>
  </sheetViews>
  <sheetFormatPr defaultRowHeight="14.4" x14ac:dyDescent="0.3"/>
  <sheetData>
    <row r="1" spans="1:23" x14ac:dyDescent="0.3">
      <c r="A1" s="43"/>
      <c r="B1" s="43"/>
      <c r="C1" s="43"/>
      <c r="D1" s="43"/>
      <c r="E1" s="43"/>
      <c r="F1" s="43"/>
      <c r="G1" s="43"/>
      <c r="H1" s="43"/>
      <c r="I1" s="43"/>
      <c r="J1" s="43"/>
      <c r="K1" s="43"/>
      <c r="L1" s="43"/>
      <c r="M1" s="43"/>
      <c r="N1" s="43"/>
      <c r="O1" s="43"/>
      <c r="P1" s="43"/>
      <c r="Q1" s="43"/>
      <c r="R1" s="43"/>
      <c r="S1" s="43"/>
      <c r="T1" s="43"/>
      <c r="U1" s="43"/>
      <c r="V1" s="43"/>
      <c r="W1" s="43"/>
    </row>
    <row r="2" spans="1:23" x14ac:dyDescent="0.3">
      <c r="A2" s="43"/>
      <c r="B2" s="43"/>
      <c r="C2" s="43"/>
      <c r="D2" s="43"/>
      <c r="E2" s="43"/>
      <c r="F2" s="43"/>
      <c r="G2" s="43"/>
      <c r="H2" s="43"/>
      <c r="I2" s="43"/>
      <c r="J2" s="43"/>
      <c r="K2" s="43"/>
      <c r="L2" s="43"/>
      <c r="M2" s="43"/>
      <c r="N2" s="43"/>
      <c r="O2" s="43"/>
      <c r="P2" s="43"/>
      <c r="Q2" s="43"/>
      <c r="R2" s="43"/>
      <c r="S2" s="43"/>
      <c r="T2" s="43"/>
      <c r="U2" s="43"/>
      <c r="V2" s="43"/>
      <c r="W2" s="43"/>
    </row>
    <row r="3" spans="1:23" x14ac:dyDescent="0.3">
      <c r="A3" s="43"/>
      <c r="B3" s="43"/>
      <c r="C3" s="43"/>
      <c r="D3" s="43"/>
      <c r="E3" s="43"/>
      <c r="F3" s="43"/>
      <c r="G3" s="43"/>
      <c r="H3" s="43"/>
      <c r="I3" s="43"/>
      <c r="J3" s="43"/>
      <c r="K3" s="43"/>
      <c r="L3" s="43"/>
      <c r="M3" s="43"/>
      <c r="N3" s="43"/>
      <c r="O3" s="43"/>
      <c r="P3" s="43"/>
      <c r="Q3" s="43"/>
      <c r="R3" s="43"/>
      <c r="S3" s="43"/>
      <c r="T3" s="43"/>
      <c r="U3" s="43"/>
      <c r="V3" s="43"/>
      <c r="W3" s="43"/>
    </row>
    <row r="4" spans="1:23" x14ac:dyDescent="0.3">
      <c r="A4" s="43"/>
      <c r="B4" s="43"/>
      <c r="C4" s="43"/>
      <c r="D4" s="43"/>
      <c r="E4" s="43"/>
      <c r="F4" s="43"/>
      <c r="G4" s="43"/>
      <c r="H4" s="43"/>
      <c r="I4" s="43"/>
      <c r="J4" s="43"/>
      <c r="K4" s="43"/>
      <c r="L4" s="43"/>
      <c r="M4" s="43"/>
      <c r="N4" s="43"/>
      <c r="O4" s="43"/>
      <c r="P4" s="43"/>
      <c r="Q4" s="43"/>
      <c r="R4" s="43"/>
      <c r="S4" s="43"/>
      <c r="T4" s="43"/>
      <c r="U4" s="43"/>
      <c r="V4" s="43"/>
      <c r="W4" s="43"/>
    </row>
    <row r="5" spans="1:23" x14ac:dyDescent="0.3">
      <c r="A5" s="43"/>
      <c r="B5" s="43"/>
      <c r="C5" s="43"/>
      <c r="D5" s="43"/>
      <c r="E5" s="43"/>
      <c r="F5" s="43"/>
      <c r="G5" s="43"/>
      <c r="H5" s="43"/>
      <c r="I5" s="43"/>
      <c r="J5" s="43"/>
      <c r="K5" s="43"/>
      <c r="L5" s="43"/>
      <c r="M5" s="43"/>
      <c r="N5" s="43"/>
      <c r="O5" s="43"/>
      <c r="P5" s="43"/>
      <c r="Q5" s="43"/>
      <c r="R5" s="43"/>
      <c r="S5" s="43"/>
      <c r="T5" s="43"/>
      <c r="U5" s="43"/>
      <c r="V5" s="43"/>
      <c r="W5" s="43"/>
    </row>
    <row r="6" spans="1:23" x14ac:dyDescent="0.3">
      <c r="A6" s="43"/>
      <c r="B6" s="43"/>
      <c r="C6" s="43"/>
      <c r="D6" s="43"/>
      <c r="E6" s="43"/>
      <c r="F6" s="43"/>
      <c r="G6" s="43"/>
      <c r="H6" s="43"/>
      <c r="I6" s="43"/>
      <c r="J6" s="43"/>
      <c r="K6" s="43"/>
      <c r="L6" s="43"/>
      <c r="M6" s="43"/>
      <c r="N6" s="43"/>
      <c r="O6" s="43"/>
      <c r="P6" s="43"/>
      <c r="Q6" s="43"/>
      <c r="R6" s="43"/>
      <c r="S6" s="43"/>
      <c r="T6" s="43"/>
      <c r="U6" s="43"/>
      <c r="V6" s="43"/>
      <c r="W6" s="43"/>
    </row>
    <row r="7" spans="1:23" x14ac:dyDescent="0.3">
      <c r="A7" s="43"/>
      <c r="B7" s="43"/>
      <c r="C7" s="43"/>
      <c r="D7" s="43"/>
      <c r="E7" s="43"/>
      <c r="F7" s="43"/>
      <c r="G7" s="43"/>
      <c r="H7" s="43"/>
      <c r="I7" s="43"/>
      <c r="J7" s="43"/>
      <c r="K7" s="43"/>
      <c r="L7" s="43"/>
      <c r="M7" s="43"/>
      <c r="N7" s="43"/>
      <c r="O7" s="43"/>
      <c r="P7" s="43"/>
      <c r="Q7" s="43"/>
      <c r="R7" s="43"/>
      <c r="S7" s="43"/>
      <c r="T7" s="43"/>
      <c r="U7" s="43"/>
      <c r="V7" s="43"/>
      <c r="W7" s="43"/>
    </row>
    <row r="8" spans="1:23" x14ac:dyDescent="0.3">
      <c r="A8" s="43"/>
      <c r="B8" s="43"/>
      <c r="C8" s="43"/>
      <c r="D8" s="43"/>
      <c r="E8" s="43"/>
      <c r="F8" s="43"/>
      <c r="G8" s="43"/>
      <c r="H8" s="43"/>
      <c r="I8" s="43"/>
      <c r="J8" s="43"/>
      <c r="K8" s="43"/>
      <c r="L8" s="43"/>
      <c r="M8" s="43"/>
      <c r="N8" s="43"/>
      <c r="O8" s="43"/>
      <c r="P8" s="43"/>
      <c r="Q8" s="43"/>
      <c r="R8" s="43"/>
      <c r="S8" s="43"/>
      <c r="T8" s="43"/>
      <c r="U8" s="43"/>
      <c r="V8" s="43"/>
      <c r="W8" s="43"/>
    </row>
    <row r="9" spans="1:23" x14ac:dyDescent="0.3">
      <c r="A9" s="43"/>
      <c r="B9" s="43"/>
      <c r="C9" s="43"/>
      <c r="D9" s="43"/>
      <c r="E9" s="43"/>
      <c r="F9" s="43"/>
      <c r="G9" s="43"/>
      <c r="H9" s="43"/>
      <c r="I9" s="43"/>
      <c r="J9" s="43"/>
      <c r="K9" s="43"/>
      <c r="L9" s="43"/>
      <c r="M9" s="43"/>
      <c r="N9" s="43"/>
      <c r="O9" s="43"/>
      <c r="P9" s="43"/>
      <c r="Q9" s="43"/>
      <c r="R9" s="43"/>
      <c r="S9" s="43"/>
      <c r="T9" s="43"/>
      <c r="U9" s="43"/>
      <c r="V9" s="43"/>
      <c r="W9" s="43"/>
    </row>
    <row r="10" spans="1:23" x14ac:dyDescent="0.3">
      <c r="A10" s="43"/>
      <c r="B10" s="43"/>
      <c r="C10" s="43"/>
      <c r="D10" s="43"/>
      <c r="E10" s="43"/>
      <c r="F10" s="43"/>
      <c r="G10" s="43"/>
      <c r="H10" s="43"/>
      <c r="I10" s="43"/>
      <c r="J10" s="43"/>
      <c r="K10" s="43"/>
      <c r="L10" s="43"/>
      <c r="M10" s="43"/>
      <c r="N10" s="43"/>
      <c r="O10" s="43"/>
      <c r="P10" s="43"/>
      <c r="Q10" s="43"/>
      <c r="R10" s="43"/>
      <c r="S10" s="43"/>
      <c r="T10" s="43"/>
      <c r="U10" s="43"/>
      <c r="V10" s="43"/>
      <c r="W10" s="43"/>
    </row>
    <row r="11" spans="1:23" x14ac:dyDescent="0.3">
      <c r="A11" s="43"/>
      <c r="B11" s="43"/>
      <c r="C11" s="43"/>
      <c r="D11" s="43"/>
      <c r="E11" s="43"/>
      <c r="F11" s="43"/>
      <c r="G11" s="43"/>
      <c r="H11" s="43"/>
      <c r="I11" s="43"/>
      <c r="J11" s="43"/>
      <c r="K11" s="43"/>
      <c r="L11" s="43"/>
      <c r="M11" s="43"/>
      <c r="N11" s="43"/>
      <c r="O11" s="43"/>
      <c r="P11" s="43"/>
      <c r="Q11" s="43"/>
      <c r="R11" s="43"/>
      <c r="S11" s="43"/>
      <c r="T11" s="43"/>
      <c r="U11" s="43"/>
      <c r="V11" s="43"/>
      <c r="W11" s="43"/>
    </row>
    <row r="12" spans="1:23" x14ac:dyDescent="0.3">
      <c r="A12" s="43"/>
      <c r="B12" s="43"/>
      <c r="C12" s="43"/>
      <c r="D12" s="43"/>
      <c r="E12" s="43"/>
      <c r="F12" s="43"/>
      <c r="G12" s="43"/>
      <c r="H12" s="43"/>
      <c r="I12" s="43"/>
      <c r="J12" s="43"/>
      <c r="K12" s="43"/>
      <c r="L12" s="43"/>
      <c r="M12" s="43"/>
      <c r="N12" s="43"/>
      <c r="O12" s="43"/>
      <c r="P12" s="43"/>
      <c r="Q12" s="43"/>
      <c r="R12" s="43"/>
      <c r="S12" s="43"/>
      <c r="T12" s="43"/>
      <c r="U12" s="43"/>
      <c r="V12" s="43"/>
      <c r="W12" s="43"/>
    </row>
    <row r="13" spans="1:23" x14ac:dyDescent="0.3">
      <c r="A13" s="43"/>
      <c r="B13" s="43"/>
      <c r="C13" s="43"/>
      <c r="D13" s="43"/>
      <c r="E13" s="43"/>
      <c r="F13" s="43"/>
      <c r="G13" s="43"/>
      <c r="H13" s="43"/>
      <c r="I13" s="43"/>
      <c r="J13" s="43"/>
      <c r="K13" s="43"/>
      <c r="L13" s="43"/>
      <c r="M13" s="43"/>
      <c r="N13" s="43"/>
      <c r="O13" s="43"/>
      <c r="P13" s="43"/>
      <c r="Q13" s="43"/>
      <c r="R13" s="43"/>
      <c r="S13" s="43"/>
      <c r="T13" s="43"/>
      <c r="U13" s="43"/>
      <c r="V13" s="43"/>
      <c r="W13" s="43"/>
    </row>
    <row r="14" spans="1:23" x14ac:dyDescent="0.3">
      <c r="A14" s="43"/>
      <c r="B14" s="43"/>
      <c r="C14" s="43"/>
      <c r="D14" s="43"/>
      <c r="E14" s="43"/>
      <c r="F14" s="43"/>
      <c r="G14" s="43"/>
      <c r="H14" s="43"/>
      <c r="I14" s="43"/>
      <c r="J14" s="43"/>
      <c r="K14" s="43"/>
      <c r="L14" s="43"/>
      <c r="M14" s="43"/>
      <c r="N14" s="43"/>
      <c r="O14" s="43"/>
      <c r="P14" s="43"/>
      <c r="Q14" s="43"/>
      <c r="R14" s="43"/>
      <c r="S14" s="43"/>
      <c r="T14" s="43"/>
      <c r="U14" s="43"/>
      <c r="V14" s="43"/>
      <c r="W14" s="43"/>
    </row>
    <row r="15" spans="1:23" x14ac:dyDescent="0.3">
      <c r="A15" s="43"/>
      <c r="B15" s="43"/>
      <c r="C15" s="43"/>
      <c r="D15" s="43"/>
      <c r="E15" s="43"/>
      <c r="F15" s="43"/>
      <c r="G15" s="43"/>
      <c r="H15" s="43"/>
      <c r="I15" s="43"/>
      <c r="J15" s="43"/>
      <c r="K15" s="43"/>
      <c r="L15" s="43"/>
      <c r="M15" s="43"/>
      <c r="N15" s="43"/>
      <c r="O15" s="43"/>
      <c r="P15" s="43"/>
      <c r="Q15" s="43"/>
      <c r="R15" s="43"/>
      <c r="S15" s="43"/>
      <c r="T15" s="43"/>
      <c r="U15" s="43"/>
      <c r="V15" s="43"/>
      <c r="W15" s="43"/>
    </row>
    <row r="16" spans="1:23" x14ac:dyDescent="0.3">
      <c r="A16" s="43"/>
      <c r="B16" s="43"/>
      <c r="C16" s="43"/>
      <c r="D16" s="43"/>
      <c r="E16" s="43"/>
      <c r="F16" s="43"/>
      <c r="G16" s="43"/>
      <c r="H16" s="43"/>
      <c r="I16" s="43"/>
      <c r="J16" s="43"/>
      <c r="K16" s="43"/>
      <c r="L16" s="43"/>
      <c r="M16" s="43"/>
      <c r="N16" s="43"/>
      <c r="O16" s="43"/>
      <c r="P16" s="43"/>
      <c r="Q16" s="43"/>
      <c r="R16" s="43"/>
      <c r="S16" s="43"/>
      <c r="T16" s="43"/>
      <c r="U16" s="43"/>
      <c r="V16" s="43"/>
      <c r="W16" s="43"/>
    </row>
    <row r="17" spans="1:23" x14ac:dyDescent="0.3">
      <c r="A17" s="43"/>
      <c r="B17" s="43"/>
      <c r="C17" s="43"/>
      <c r="D17" s="43"/>
      <c r="E17" s="43"/>
      <c r="F17" s="43"/>
      <c r="G17" s="43"/>
      <c r="H17" s="43"/>
      <c r="I17" s="43"/>
      <c r="J17" s="43"/>
      <c r="K17" s="43"/>
      <c r="L17" s="43"/>
      <c r="M17" s="43"/>
      <c r="N17" s="43"/>
      <c r="O17" s="43"/>
      <c r="P17" s="43"/>
      <c r="Q17" s="43"/>
      <c r="R17" s="43"/>
      <c r="S17" s="43"/>
      <c r="T17" s="43"/>
      <c r="U17" s="43"/>
      <c r="V17" s="43"/>
      <c r="W17" s="43"/>
    </row>
    <row r="18" spans="1:23" x14ac:dyDescent="0.3">
      <c r="A18" s="43"/>
      <c r="B18" s="43"/>
      <c r="C18" s="43"/>
      <c r="D18" s="43"/>
      <c r="E18" s="43"/>
      <c r="F18" s="43"/>
      <c r="G18" s="43"/>
      <c r="H18" s="43"/>
      <c r="I18" s="43"/>
      <c r="J18" s="43"/>
      <c r="K18" s="43"/>
      <c r="L18" s="43"/>
      <c r="M18" s="43"/>
      <c r="N18" s="43"/>
      <c r="O18" s="43"/>
      <c r="P18" s="43"/>
      <c r="Q18" s="43"/>
      <c r="R18" s="43"/>
      <c r="S18" s="43"/>
      <c r="T18" s="43"/>
      <c r="U18" s="43"/>
      <c r="V18" s="43"/>
      <c r="W18" s="43"/>
    </row>
    <row r="19" spans="1:23" x14ac:dyDescent="0.3">
      <c r="A19" s="43"/>
      <c r="B19" s="43"/>
      <c r="C19" s="43"/>
      <c r="D19" s="43"/>
      <c r="E19" s="43"/>
      <c r="F19" s="43"/>
      <c r="G19" s="43"/>
      <c r="H19" s="43"/>
      <c r="I19" s="43"/>
      <c r="J19" s="43"/>
      <c r="K19" s="43"/>
      <c r="L19" s="43"/>
      <c r="M19" s="43"/>
      <c r="N19" s="43"/>
      <c r="O19" s="43"/>
      <c r="P19" s="43"/>
      <c r="Q19" s="43"/>
      <c r="R19" s="43"/>
      <c r="S19" s="43"/>
      <c r="T19" s="43"/>
      <c r="U19" s="43"/>
      <c r="V19" s="43"/>
      <c r="W19" s="43"/>
    </row>
    <row r="20" spans="1:23" x14ac:dyDescent="0.3">
      <c r="A20" s="43"/>
      <c r="B20" s="43"/>
      <c r="C20" s="43"/>
      <c r="D20" s="43"/>
      <c r="E20" s="43"/>
      <c r="F20" s="43"/>
      <c r="G20" s="43"/>
      <c r="H20" s="43"/>
      <c r="I20" s="43"/>
      <c r="J20" s="43"/>
      <c r="K20" s="43"/>
      <c r="L20" s="43"/>
      <c r="M20" s="43"/>
      <c r="N20" s="43"/>
      <c r="O20" s="43"/>
      <c r="P20" s="43"/>
      <c r="Q20" s="43"/>
      <c r="R20" s="43"/>
      <c r="S20" s="43"/>
      <c r="T20" s="43"/>
      <c r="U20" s="43"/>
      <c r="V20" s="43"/>
      <c r="W20" s="43"/>
    </row>
    <row r="21" spans="1:23" x14ac:dyDescent="0.3">
      <c r="A21" s="43"/>
      <c r="B21" s="43"/>
      <c r="C21" s="43"/>
      <c r="D21" s="43"/>
      <c r="E21" s="43"/>
      <c r="F21" s="43"/>
      <c r="G21" s="43"/>
      <c r="H21" s="43"/>
      <c r="I21" s="43"/>
      <c r="J21" s="43"/>
      <c r="K21" s="43"/>
      <c r="L21" s="43"/>
      <c r="M21" s="43"/>
      <c r="N21" s="43"/>
      <c r="O21" s="43"/>
      <c r="P21" s="43"/>
      <c r="Q21" s="43"/>
      <c r="R21" s="43"/>
      <c r="S21" s="43"/>
      <c r="T21" s="43"/>
      <c r="U21" s="43"/>
      <c r="V21" s="43"/>
      <c r="W21" s="43"/>
    </row>
    <row r="22" spans="1:23" x14ac:dyDescent="0.3">
      <c r="A22" s="43"/>
      <c r="B22" s="43"/>
      <c r="C22" s="43"/>
      <c r="D22" s="43"/>
      <c r="E22" s="43"/>
      <c r="F22" s="43"/>
      <c r="G22" s="43"/>
      <c r="H22" s="43"/>
      <c r="I22" s="43"/>
      <c r="J22" s="43"/>
      <c r="K22" s="43"/>
      <c r="L22" s="43"/>
      <c r="M22" s="43"/>
      <c r="N22" s="43"/>
      <c r="O22" s="43"/>
      <c r="P22" s="43"/>
      <c r="Q22" s="43"/>
      <c r="R22" s="43"/>
      <c r="S22" s="43"/>
      <c r="T22" s="43"/>
      <c r="U22" s="43"/>
      <c r="V22" s="43"/>
      <c r="W22" s="43"/>
    </row>
    <row r="23" spans="1:23" x14ac:dyDescent="0.3">
      <c r="A23" s="43"/>
      <c r="B23" s="43"/>
      <c r="C23" s="43"/>
      <c r="D23" s="43"/>
      <c r="E23" s="43"/>
      <c r="F23" s="43"/>
      <c r="G23" s="43"/>
      <c r="H23" s="43"/>
      <c r="I23" s="43"/>
      <c r="J23" s="43"/>
      <c r="K23" s="43"/>
      <c r="L23" s="43"/>
      <c r="M23" s="43"/>
      <c r="N23" s="43"/>
      <c r="O23" s="43"/>
      <c r="P23" s="43"/>
      <c r="Q23" s="43"/>
      <c r="R23" s="43"/>
      <c r="S23" s="43"/>
      <c r="T23" s="43"/>
      <c r="U23" s="43"/>
      <c r="V23" s="43"/>
      <c r="W23" s="43"/>
    </row>
    <row r="24" spans="1:23" x14ac:dyDescent="0.3">
      <c r="A24" s="43"/>
      <c r="B24" s="43"/>
      <c r="C24" s="43"/>
      <c r="D24" s="43"/>
      <c r="E24" s="43"/>
      <c r="F24" s="43"/>
      <c r="G24" s="43"/>
      <c r="H24" s="43"/>
      <c r="I24" s="43"/>
      <c r="J24" s="43"/>
      <c r="K24" s="43"/>
      <c r="L24" s="43"/>
      <c r="M24" s="43"/>
      <c r="N24" s="43"/>
      <c r="O24" s="43"/>
      <c r="P24" s="43"/>
      <c r="Q24" s="43"/>
      <c r="R24" s="43"/>
      <c r="S24" s="43"/>
      <c r="T24" s="43"/>
      <c r="U24" s="43"/>
      <c r="V24" s="43"/>
      <c r="W24" s="43"/>
    </row>
    <row r="25" spans="1:23" x14ac:dyDescent="0.3">
      <c r="A25" s="43"/>
      <c r="B25" s="43"/>
      <c r="C25" s="43"/>
      <c r="D25" s="43"/>
      <c r="E25" s="43"/>
      <c r="F25" s="43"/>
      <c r="G25" s="43"/>
      <c r="H25" s="43"/>
      <c r="I25" s="43"/>
      <c r="J25" s="43"/>
      <c r="K25" s="43"/>
      <c r="L25" s="43"/>
      <c r="M25" s="43"/>
      <c r="N25" s="43"/>
      <c r="O25" s="43"/>
      <c r="P25" s="43"/>
      <c r="Q25" s="43"/>
      <c r="R25" s="43"/>
      <c r="S25" s="43"/>
      <c r="T25" s="43"/>
      <c r="U25" s="43"/>
      <c r="V25" s="43"/>
      <c r="W25" s="43"/>
    </row>
    <row r="26" spans="1:23" x14ac:dyDescent="0.3">
      <c r="A26" s="43"/>
      <c r="B26" s="43"/>
      <c r="C26" s="43"/>
      <c r="D26" s="43"/>
      <c r="E26" s="43"/>
      <c r="F26" s="43"/>
      <c r="G26" s="43"/>
      <c r="H26" s="43"/>
      <c r="I26" s="43"/>
      <c r="J26" s="43"/>
      <c r="K26" s="43"/>
      <c r="L26" s="43"/>
      <c r="M26" s="43"/>
      <c r="N26" s="43"/>
      <c r="O26" s="43"/>
      <c r="P26" s="43"/>
      <c r="Q26" s="43"/>
      <c r="R26" s="43"/>
      <c r="S26" s="43"/>
      <c r="T26" s="43"/>
      <c r="U26" s="43"/>
      <c r="V26" s="43"/>
      <c r="W26" s="4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healthcare_dataset</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Tyren Mutugi</cp:lastModifiedBy>
  <dcterms:created xsi:type="dcterms:W3CDTF">2026-03-25T12:38:55Z</dcterms:created>
  <dcterms:modified xsi:type="dcterms:W3CDTF">2026-03-27T22:11:06Z</dcterms:modified>
</cp:coreProperties>
</file>