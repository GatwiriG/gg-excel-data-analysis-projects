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612c8ba1f566b8/Desktop/gg-excel-data-analysis-projects/customer_churn/"/>
    </mc:Choice>
  </mc:AlternateContent>
  <xr:revisionPtr revIDLastSave="0" documentId="8_{2391C7BC-0C6E-4FAF-B4B0-B27DB30F66C4}" xr6:coauthVersionLast="47" xr6:coauthVersionMax="47" xr10:uidLastSave="{00000000-0000-0000-0000-000000000000}"/>
  <bookViews>
    <workbookView xWindow="0" yWindow="828" windowWidth="23040" windowHeight="12132" tabRatio="500" firstSheet="1" activeTab="4" xr2:uid="{00000000-000D-0000-FFFF-FFFF00000000}"/>
  </bookViews>
  <sheets>
    <sheet name="Summary" sheetId="1" r:id="rId1"/>
    <sheet name="Segment Analysis" sheetId="2" r:id="rId2"/>
    <sheet name="Channel Audit" sheetId="3" r:id="rId3"/>
    <sheet name="Retention Protocol" sheetId="4" r:id="rId4"/>
    <sheet name="GG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3" i="3"/>
  <c r="F9" i="3"/>
  <c r="C9" i="3"/>
  <c r="F8" i="3"/>
  <c r="F7" i="3"/>
  <c r="F6" i="3"/>
  <c r="F5" i="3"/>
  <c r="F23" i="2"/>
  <c r="F22" i="2"/>
  <c r="E13" i="2"/>
  <c r="C13" i="2"/>
  <c r="B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B9" i="1"/>
  <c r="D6" i="3" l="1"/>
  <c r="D5" i="3"/>
  <c r="F24" i="2"/>
  <c r="F20" i="2"/>
  <c r="B10" i="1" s="1"/>
  <c r="F19" i="2"/>
  <c r="B12" i="1" s="1"/>
  <c r="F11" i="2"/>
  <c r="F10" i="2"/>
  <c r="F9" i="2"/>
  <c r="F8" i="2"/>
  <c r="F6" i="2"/>
  <c r="F5" i="2"/>
  <c r="F13" i="2" s="1"/>
  <c r="D13" i="2"/>
  <c r="F12" i="2"/>
  <c r="F7" i="2"/>
  <c r="D8" i="3"/>
  <c r="D7" i="3"/>
  <c r="D9" i="3" l="1"/>
  <c r="B13" i="3"/>
  <c r="D13" i="3" s="1"/>
  <c r="B11" i="1"/>
</calcChain>
</file>

<file path=xl/sharedStrings.xml><?xml version="1.0" encoding="utf-8"?>
<sst xmlns="http://schemas.openxmlformats.org/spreadsheetml/2006/main" count="168" uniqueCount="148">
  <si>
    <t>KEY PORTFOLIO METRICS</t>
  </si>
  <si>
    <t>Metric</t>
  </si>
  <si>
    <t>Value</t>
  </si>
  <si>
    <t>Total Portfolio Value</t>
  </si>
  <si>
    <t>Global Churn Rate</t>
  </si>
  <si>
    <t>Historical Revenue Loss (Churn)</t>
  </si>
  <si>
    <t>Revenue Loss as % of Portfolio</t>
  </si>
  <si>
    <t>Veteran Anchor Revenue Share (50+ mo)</t>
  </si>
  <si>
    <t>Veteran Anchor Revenue ($)</t>
  </si>
  <si>
    <t>Early-Stage (&lt;12mo) Volume Share</t>
  </si>
  <si>
    <t>1-Year Survival Failure Rate ("Newbie Leak")</t>
  </si>
  <si>
    <t>Death Zone Inactivity Threshold (days)</t>
  </si>
  <si>
    <t>STRATEGIC NARRATIVE</t>
  </si>
  <si>
    <t>Global churn looks manageable at the headline level (8.1%), but it masks two distinct risk pools. A high-volume, low-individual-value early-stage segment (&lt;12 months) drives most churn EVENTS — the "Newbie Leak" — while a low-volume, high-individual-value Veteran Anchor segment (50+ months) drives most churn IMPACT when it does occur. Acquisition channel quality compounds the Newbie Leak: paid ads (20% churn) and social (15%) feed the early-stage pool faster than referral (5%) and organic (8%) can stabilize it. The 3-Tier Retention Protocol targets each pool with a matched intervention and timing window.</t>
  </si>
  <si>
    <t>NEXT STEPS</t>
  </si>
  <si>
    <t>1. Deploy Day-60 behavioral inactivity triggers ahead of Q3 to intercept the Death Zone before Day 70.</t>
  </si>
  <si>
    <t>2. Launch automated ROI impact reports at Month 3 and Month 6 to bridge the 10-Month Wall.</t>
  </si>
  <si>
    <t>3. Stand up VIP Concierge / Growth Audit program for the $3.1M+ Veteran segment.</t>
  </si>
  <si>
    <t>4. Reallocate paid-ads budget toward referral and organic channels per Channel Audit tab.</t>
  </si>
  <si>
    <t>5. Track leading indicators (inactivity days, tenure cohort survival) on GG Socials Dashboard tab.</t>
  </si>
  <si>
    <t>TENURE COHORT SURVIVAL TABLE</t>
  </si>
  <si>
    <t>Tenure Cohort</t>
  </si>
  <si>
    <t>Clients (#)</t>
  </si>
  <si>
    <t>Clients Lost (#)</t>
  </si>
  <si>
    <t>Churn Rate</t>
  </si>
  <si>
    <t>Revenue ($)</t>
  </si>
  <si>
    <t>Rev Share</t>
  </si>
  <si>
    <t>Notes</t>
  </si>
  <si>
    <t>Avg Rev/Client ($)</t>
  </si>
  <si>
    <t>Month 0-3 (Onboarding)</t>
  </si>
  <si>
    <t>Newbie Leak window opens</t>
  </si>
  <si>
    <t>Month 4-6</t>
  </si>
  <si>
    <t>Pre-ROI-proof drop-off</t>
  </si>
  <si>
    <t>Month 7-9</t>
  </si>
  <si>
    <t>Approaching 10-Month Wall</t>
  </si>
  <si>
    <t>Month 10 (Spike)</t>
  </si>
  <si>
    <t>20% churn spike — Death Zone signature</t>
  </si>
  <si>
    <t>Month 11-12</t>
  </si>
  <si>
    <t>Stabilization begins</t>
  </si>
  <si>
    <t>Month 13-24</t>
  </si>
  <si>
    <t>Post-maturity stability</t>
  </si>
  <si>
    <t>Month 25-49</t>
  </si>
  <si>
    <t>Established / low risk</t>
  </si>
  <si>
    <t>Month 50+ (Veteran Anchor)</t>
  </si>
  <si>
    <t>Core revenue stability</t>
  </si>
  <si>
    <t>TOTAL</t>
  </si>
  <si>
    <t>HEADLINE RISK-ZONE METRICS</t>
  </si>
  <si>
    <t>Definition</t>
  </si>
  <si>
    <t>Newbie Leak — Failure Before 12mo (1 in 5)</t>
  </si>
  <si>
    <t>Input — 20% of new clients churn before reaching 1-year tenure</t>
  </si>
  <si>
    <t>Sum of Month 0-12 cohorts / Total client base</t>
  </si>
  <si>
    <t>Veteran Anchor (50mo+) Revenue Share</t>
  </si>
  <si>
    <t>Month 50+ revenue / Total revenue</t>
  </si>
  <si>
    <t>Input — point of no return for reactivation</t>
  </si>
  <si>
    <t>Avg Veteran Account Value ($)</t>
  </si>
  <si>
    <t>Veteran segment revenue / Veteran client count</t>
  </si>
  <si>
    <t>Avg Early-Stage Account Value ($)</t>
  </si>
  <si>
    <t>Early-stage (Mo 0-12) revenue / client count</t>
  </si>
  <si>
    <t>Equivalent Early-Stage Clients per 1 Veteran Loss</t>
  </si>
  <si>
    <t>Avg Veteran Value / Avg Early-Stage Value (target range 10-15x)</t>
  </si>
  <si>
    <t>ACQUISITION CHANNEL QUALITY AUDIT</t>
  </si>
  <si>
    <t>CHANNEL PERFORMANCE &amp; BUDGET REALLOCATION</t>
  </si>
  <si>
    <t>Channel</t>
  </si>
  <si>
    <t>Current Budget ($)</t>
  </si>
  <si>
    <t>Current Budget Share</t>
  </si>
  <si>
    <t>Quality Rank</t>
  </si>
  <si>
    <t>Recommended Budget ($)</t>
  </si>
  <si>
    <t>Action</t>
  </si>
  <si>
    <t>Assumption: shift this % of Paid Ads budget</t>
  </si>
  <si>
    <t>Referral</t>
  </si>
  <si>
    <t>Increase allocation</t>
  </si>
  <si>
    <t>Organic Search</t>
  </si>
  <si>
    <t>Social Media</t>
  </si>
  <si>
    <t>Reduce / optimize</t>
  </si>
  <si>
    <t>Paid Ads</t>
  </si>
  <si>
    <t>Reallocate to Referral/Organic</t>
  </si>
  <si>
    <t>PROJECTED IMPACT OF REALLOCATION</t>
  </si>
  <si>
    <t>Before</t>
  </si>
  <si>
    <t>After</t>
  </si>
  <si>
    <t>Change</t>
  </si>
  <si>
    <t>Blended Channel Churn Rate (budget-weighted)</t>
  </si>
  <si>
    <t>3-TIER RETENTION PROTOCOL</t>
  </si>
  <si>
    <t>Tier</t>
  </si>
  <si>
    <t>Target Segment</t>
  </si>
  <si>
    <t>Trigger / Timing</t>
  </si>
  <si>
    <t>Intervention</t>
  </si>
  <si>
    <t>Owner</t>
  </si>
  <si>
    <t>Status</t>
  </si>
  <si>
    <t>Tier 1</t>
  </si>
  <si>
    <t>Onboarding (Month 0-9)</t>
  </si>
  <si>
    <t>Automated checkpoints at Month 3 &amp; Month 6</t>
  </si>
  <si>
    <t>ROI Impact Report — proves value before the 10-Month Wall</t>
  </si>
  <si>
    <t>Customer Success</t>
  </si>
  <si>
    <t>In Progress</t>
  </si>
  <si>
    <t>Tier 2</t>
  </si>
  <si>
    <t>Engagement (Active, at-risk)</t>
  </si>
  <si>
    <t>Behavioral trigger at Day 60 of inactivity</t>
  </si>
  <si>
    <t>Re-engagement outreach to intercept before Day-70 Death Zone</t>
  </si>
  <si>
    <t>Growth / CS Ops</t>
  </si>
  <si>
    <t>Q3 Rollout</t>
  </si>
  <si>
    <t>Tier 3</t>
  </si>
  <si>
    <t>VIP Concierge (50+ mo, $3.1M segment)</t>
  </si>
  <si>
    <t>Ongoing / quarterly cadence</t>
  </si>
  <si>
    <t>Exclusive Growth Audits + loyalty incentives</t>
  </si>
  <si>
    <t>Strategic Accounts</t>
  </si>
  <si>
    <t>Planned</t>
  </si>
  <si>
    <t>Q3 IMPLEMENTATION TIMELINE</t>
  </si>
  <si>
    <t>Workstream</t>
  </si>
  <si>
    <t>Jul</t>
  </si>
  <si>
    <t>Aug</t>
  </si>
  <si>
    <t>Sep</t>
  </si>
  <si>
    <t>Day-60 inactivity trigger build</t>
  </si>
  <si>
    <t>X</t>
  </si>
  <si>
    <t>Growth Eng</t>
  </si>
  <si>
    <t>Highest priority — Death Zone defense</t>
  </si>
  <si>
    <t>Month 3/6 ROI report automation</t>
  </si>
  <si>
    <t>Bridges 10-Month Wall</t>
  </si>
  <si>
    <t>VIP Concierge program design</t>
  </si>
  <si>
    <t>Targets Veteran Anchor segment</t>
  </si>
  <si>
    <t>Paid Ads budget reallocation</t>
  </si>
  <si>
    <t>Marketing</t>
  </si>
  <si>
    <t>See Channel Audit tab</t>
  </si>
  <si>
    <t>Dashboard rollout (live monitoring)</t>
  </si>
  <si>
    <t>Analytics</t>
  </si>
  <si>
    <t>See GG Dashboard tab</t>
  </si>
  <si>
    <t>REAL-TIME REVENUE &amp; ACTIVITY MONITOR</t>
  </si>
  <si>
    <t>Data Point</t>
  </si>
  <si>
    <t>Suggested Definition (confirm in source system)</t>
  </si>
  <si>
    <t>Total Monitored Revenue ($)</t>
  </si>
  <si>
    <t>Live revenue tracked across all active accounts</t>
  </si>
  <si>
    <t>Monthly Recurring Revenue ($)</t>
  </si>
  <si>
    <t>Current-month recurring revenue snapshot</t>
  </si>
  <si>
    <t>Active Accounts Monitored (#)</t>
  </si>
  <si>
    <t>Count of accounts currently flowing through dashboard</t>
  </si>
  <si>
    <t>NOTE</t>
  </si>
  <si>
    <t>The three figures (427,580 / 35,640 / 213) were carried over from the source report without labels. They're entered here as inputs (blue) — relabel once you confirm exactly what each represents in the live dashboard (e.g. revenue, MRR, account count).</t>
  </si>
  <si>
    <t>CROSS-FILTER VIEW (Revenue at Risk by Behavior Flag)</t>
  </si>
  <si>
    <t>Behavior Flag</t>
  </si>
  <si>
    <t>Accounts (#)</t>
  </si>
  <si>
    <t>Revenue at Risk ($)</t>
  </si>
  <si>
    <t>0-30 days inactive (Healthy)</t>
  </si>
  <si>
    <t>31-59 days inactive (Watch)</t>
  </si>
  <si>
    <t>60-69 days inactive (Trigger Zone)</t>
  </si>
  <si>
    <t>70+ days inactive (Death Zone)</t>
  </si>
  <si>
    <t>CHURN ANALYSIS REPORT</t>
  </si>
  <si>
    <t>Prepared by: ggsocials</t>
  </si>
  <si>
    <t>TENURE COHORTS &amp; RISK ZONES</t>
  </si>
  <si>
    <t>GG SOCIALS ANALYTICS DASHBOARD; LIVE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</si>
</sst>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0.0%"/>
    <numFmt numFmtId="166" formatCode="\$#,##0"/>
    <numFmt numFmtId="167" formatCode="0.0"/>
  </numFmts>
  <fonts count="19" x14ac:knownFonts="1">
    <font>
      <sz val="11"/>
      <color theme="1"/>
      <name val="Calibri"/>
      <family val="2"/>
      <charset val="1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0"/>
      <name val="Arial"/>
      <family val="2"/>
    </font>
    <font>
      <b/>
      <sz val="9"/>
      <color rgb="FF808080"/>
      <name val="Arial"/>
      <family val="2"/>
    </font>
    <font>
      <sz val="9"/>
      <color rgb="FF808080"/>
      <name val="Arial"/>
      <family val="2"/>
    </font>
    <font>
      <b/>
      <sz val="11"/>
      <name val="Arial"/>
      <family val="2"/>
    </font>
    <font>
      <b/>
      <sz val="18"/>
      <color theme="1"/>
      <name val="Arial"/>
      <family val="2"/>
    </font>
    <font>
      <b/>
      <sz val="13"/>
      <color theme="1"/>
      <name val="Arial"/>
      <family val="2"/>
    </font>
    <font>
      <i/>
      <sz val="9"/>
      <color rgb="FF80808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5" tint="0.59999389629810485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theme="5" tint="0.59999389629810485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3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10" fillId="0" borderId="1" xfId="0" applyFont="1" applyBorder="1"/>
    <xf numFmtId="3" fontId="10" fillId="0" borderId="1" xfId="0" applyNumberFormat="1" applyFont="1" applyBorder="1"/>
    <xf numFmtId="165" fontId="10" fillId="0" borderId="1" xfId="0" applyNumberFormat="1" applyFont="1" applyBorder="1"/>
    <xf numFmtId="164" fontId="10" fillId="0" borderId="1" xfId="0" applyNumberFormat="1" applyFont="1" applyBorder="1"/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 vertical="center"/>
    </xf>
    <xf numFmtId="0" fontId="0" fillId="0" borderId="1" xfId="0" applyBorder="1"/>
    <xf numFmtId="166" fontId="10" fillId="0" borderId="1" xfId="0" applyNumberFormat="1" applyFont="1" applyBorder="1"/>
    <xf numFmtId="166" fontId="10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0" fontId="1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5" fillId="3" borderId="0" xfId="0" applyFont="1" applyFill="1" applyAlignment="1">
      <alignment horizontal="left" vertical="center" indent="1"/>
    </xf>
    <xf numFmtId="0" fontId="16" fillId="0" borderId="0" xfId="0" applyFont="1" applyAlignment="1">
      <alignment vertical="top" wrapText="1"/>
    </xf>
    <xf numFmtId="0" fontId="7" fillId="0" borderId="0" xfId="0" applyFont="1"/>
    <xf numFmtId="0" fontId="11" fillId="3" borderId="0" xfId="0" applyFont="1" applyFill="1" applyAlignment="1">
      <alignment horizontal="left" vertical="center" indent="1"/>
    </xf>
    <xf numFmtId="0" fontId="13" fillId="0" borderId="0" xfId="0" applyFont="1"/>
    <xf numFmtId="0" fontId="1" fillId="0" borderId="0" xfId="0" applyFont="1"/>
    <xf numFmtId="0" fontId="7" fillId="0" borderId="0" xfId="0" applyFont="1" applyAlignment="1">
      <alignment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Churn Rate by Acquisition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Audit'!$B$4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Audit'!$A$5:$A$8</c:f>
              <c:strCache>
                <c:ptCount val="4"/>
                <c:pt idx="0">
                  <c:v>Referral</c:v>
                </c:pt>
                <c:pt idx="1">
                  <c:v>Organic Search</c:v>
                </c:pt>
                <c:pt idx="2">
                  <c:v>Social Media</c:v>
                </c:pt>
                <c:pt idx="3">
                  <c:v>Paid Ads</c:v>
                </c:pt>
              </c:strCache>
            </c:strRef>
          </c:cat>
          <c:val>
            <c:numRef>
              <c:f>'Channel Audit'!$B$5:$B$8</c:f>
              <c:numCache>
                <c:formatCode>0.0%</c:formatCode>
                <c:ptCount val="4"/>
                <c:pt idx="0">
                  <c:v>0.05</c:v>
                </c:pt>
                <c:pt idx="1">
                  <c:v>0.08</c:v>
                </c:pt>
                <c:pt idx="2">
                  <c:v>0.15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9-484F-903D-87F48454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036"/>
        <c:axId val="51220456"/>
      </c:barChart>
      <c:catAx>
        <c:axId val="584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20456"/>
        <c:crosses val="autoZero"/>
        <c:auto val="1"/>
        <c:lblAlgn val="ctr"/>
        <c:lblOffset val="100"/>
        <c:noMultiLvlLbl val="0"/>
      </c:catAx>
      <c:valAx>
        <c:axId val="512204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10800</xdr:rowOff>
    </xdr:from>
    <xdr:to>
      <xdr:col>4</xdr:col>
      <xdr:colOff>245160</xdr:colOff>
      <xdr:row>27</xdr:row>
      <xdr:rowOff>52560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zoomScaleNormal="100" workbookViewId="0">
      <pane ySplit="4" topLeftCell="A17" activePane="bottomLeft" state="frozen"/>
      <selection pane="bottomLeft" activeCell="A36" sqref="A36"/>
    </sheetView>
  </sheetViews>
  <sheetFormatPr defaultColWidth="8.6640625" defaultRowHeight="14.4" x14ac:dyDescent="0.3"/>
  <cols>
    <col min="1" max="1" width="41" customWidth="1"/>
    <col min="2" max="4" width="18" customWidth="1"/>
    <col min="5" max="5" width="40" customWidth="1"/>
  </cols>
  <sheetData>
    <row r="1" spans="1:5" ht="27.75" customHeight="1" x14ac:dyDescent="0.3">
      <c r="A1" s="37" t="s">
        <v>144</v>
      </c>
      <c r="B1" s="37"/>
      <c r="C1" s="37"/>
      <c r="D1" s="37"/>
      <c r="E1" s="37"/>
    </row>
    <row r="2" spans="1:5" ht="15" customHeight="1" x14ac:dyDescent="0.3">
      <c r="A2" s="38" t="s">
        <v>145</v>
      </c>
      <c r="B2" s="39"/>
      <c r="C2" s="39"/>
      <c r="D2" s="39"/>
      <c r="E2" s="39"/>
    </row>
    <row r="4" spans="1:5" ht="15.75" customHeight="1" x14ac:dyDescent="0.3">
      <c r="A4" s="28" t="s">
        <v>0</v>
      </c>
    </row>
    <row r="5" spans="1:5" ht="15" customHeight="1" x14ac:dyDescent="0.3">
      <c r="A5" s="30" t="s">
        <v>1</v>
      </c>
      <c r="B5" s="30" t="s">
        <v>2</v>
      </c>
      <c r="C5" s="29"/>
      <c r="D5" s="29"/>
      <c r="E5" s="29"/>
    </row>
    <row r="6" spans="1:5" ht="15" customHeight="1" x14ac:dyDescent="0.3">
      <c r="A6" s="2" t="s">
        <v>3</v>
      </c>
      <c r="B6" s="3">
        <v>10500000</v>
      </c>
      <c r="C6" s="4"/>
    </row>
    <row r="7" spans="1:5" ht="15" customHeight="1" x14ac:dyDescent="0.3">
      <c r="A7" s="2" t="s">
        <v>4</v>
      </c>
      <c r="B7" s="5">
        <v>8.1000000000000003E-2</v>
      </c>
      <c r="C7" s="4"/>
    </row>
    <row r="8" spans="1:5" ht="15" customHeight="1" x14ac:dyDescent="0.3">
      <c r="A8" s="2" t="s">
        <v>5</v>
      </c>
      <c r="B8" s="3">
        <v>862000</v>
      </c>
      <c r="C8" s="4"/>
    </row>
    <row r="9" spans="1:5" ht="15" customHeight="1" x14ac:dyDescent="0.3">
      <c r="A9" s="2" t="s">
        <v>6</v>
      </c>
      <c r="B9" s="6">
        <f>B8/B6</f>
        <v>8.2095238095238096E-2</v>
      </c>
      <c r="C9" s="4"/>
    </row>
    <row r="10" spans="1:5" ht="15" customHeight="1" x14ac:dyDescent="0.3">
      <c r="A10" s="2" t="s">
        <v>7</v>
      </c>
      <c r="B10" s="7">
        <f>'Segment Analysis'!F20</f>
        <v>0.3</v>
      </c>
      <c r="C10" s="4"/>
    </row>
    <row r="11" spans="1:5" ht="15" customHeight="1" x14ac:dyDescent="0.3">
      <c r="A11" s="2" t="s">
        <v>8</v>
      </c>
      <c r="B11" s="8">
        <f>B6*B10</f>
        <v>3150000</v>
      </c>
      <c r="C11" s="4"/>
    </row>
    <row r="12" spans="1:5" ht="15" customHeight="1" x14ac:dyDescent="0.3">
      <c r="A12" s="2" t="s">
        <v>9</v>
      </c>
      <c r="B12" s="7">
        <f>'Segment Analysis'!F19</f>
        <v>0.7</v>
      </c>
      <c r="C12" s="4"/>
    </row>
    <row r="13" spans="1:5" ht="15" customHeight="1" x14ac:dyDescent="0.3">
      <c r="A13" s="2" t="s">
        <v>10</v>
      </c>
      <c r="B13" s="5">
        <v>0.2</v>
      </c>
      <c r="C13" s="4"/>
    </row>
    <row r="14" spans="1:5" ht="15" customHeight="1" x14ac:dyDescent="0.3">
      <c r="A14" s="2" t="s">
        <v>11</v>
      </c>
      <c r="B14" s="9">
        <v>70</v>
      </c>
      <c r="C14" s="4"/>
    </row>
    <row r="16" spans="1:5" ht="15.75" customHeight="1" x14ac:dyDescent="0.3">
      <c r="A16" s="1" t="s">
        <v>12</v>
      </c>
    </row>
    <row r="17" spans="1:5" ht="15" customHeight="1" x14ac:dyDescent="0.3">
      <c r="A17" s="40" t="s">
        <v>13</v>
      </c>
      <c r="B17" s="40"/>
      <c r="C17" s="40"/>
      <c r="D17" s="40"/>
      <c r="E17" s="40"/>
    </row>
    <row r="18" spans="1:5" ht="15" customHeight="1" x14ac:dyDescent="0.3">
      <c r="A18" s="40"/>
      <c r="B18" s="40"/>
      <c r="C18" s="40"/>
      <c r="D18" s="40"/>
      <c r="E18" s="40"/>
    </row>
    <row r="19" spans="1:5" ht="15" customHeight="1" x14ac:dyDescent="0.3">
      <c r="A19" s="40"/>
      <c r="B19" s="40"/>
      <c r="C19" s="40"/>
      <c r="D19" s="40"/>
      <c r="E19" s="40"/>
    </row>
    <row r="20" spans="1:5" ht="15" customHeight="1" x14ac:dyDescent="0.3">
      <c r="A20" s="40"/>
      <c r="B20" s="40"/>
      <c r="C20" s="40"/>
      <c r="D20" s="40"/>
      <c r="E20" s="40"/>
    </row>
    <row r="21" spans="1:5" ht="15" customHeight="1" x14ac:dyDescent="0.3">
      <c r="A21" s="40"/>
      <c r="B21" s="40"/>
      <c r="C21" s="40"/>
      <c r="D21" s="40"/>
      <c r="E21" s="40"/>
    </row>
    <row r="22" spans="1:5" ht="15" customHeight="1" x14ac:dyDescent="0.3">
      <c r="A22" s="40"/>
      <c r="B22" s="40"/>
      <c r="C22" s="40"/>
      <c r="D22" s="40"/>
      <c r="E22" s="40"/>
    </row>
    <row r="24" spans="1:5" ht="15.75" customHeight="1" x14ac:dyDescent="0.3">
      <c r="A24" s="1" t="s">
        <v>14</v>
      </c>
    </row>
    <row r="25" spans="1:5" ht="15" customHeight="1" x14ac:dyDescent="0.3">
      <c r="A25" s="36" t="s">
        <v>15</v>
      </c>
      <c r="B25" s="36"/>
      <c r="C25" s="36"/>
      <c r="D25" s="36"/>
      <c r="E25" s="36"/>
    </row>
    <row r="26" spans="1:5" ht="15" customHeight="1" x14ac:dyDescent="0.3">
      <c r="A26" s="36" t="s">
        <v>16</v>
      </c>
      <c r="B26" s="36"/>
      <c r="C26" s="36"/>
      <c r="D26" s="36"/>
      <c r="E26" s="36"/>
    </row>
    <row r="27" spans="1:5" ht="15" customHeight="1" x14ac:dyDescent="0.3">
      <c r="A27" s="36" t="s">
        <v>17</v>
      </c>
      <c r="B27" s="36"/>
      <c r="C27" s="36"/>
      <c r="D27" s="36"/>
      <c r="E27" s="36"/>
    </row>
    <row r="28" spans="1:5" ht="15" customHeight="1" x14ac:dyDescent="0.3">
      <c r="A28" s="36" t="s">
        <v>18</v>
      </c>
      <c r="B28" s="36"/>
      <c r="C28" s="36"/>
      <c r="D28" s="36"/>
      <c r="E28" s="36"/>
    </row>
    <row r="29" spans="1:5" ht="15" customHeight="1" x14ac:dyDescent="0.3">
      <c r="A29" s="36" t="s">
        <v>19</v>
      </c>
      <c r="B29" s="36"/>
      <c r="C29" s="36"/>
      <c r="D29" s="36"/>
      <c r="E29" s="36"/>
    </row>
  </sheetData>
  <mergeCells count="8">
    <mergeCell ref="A27:E27"/>
    <mergeCell ref="A28:E28"/>
    <mergeCell ref="A29:E29"/>
    <mergeCell ref="A1:E1"/>
    <mergeCell ref="A2:E2"/>
    <mergeCell ref="A17:E22"/>
    <mergeCell ref="A25:E25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zoomScaleNormal="100" workbookViewId="0">
      <pane ySplit="3" topLeftCell="A7" activePane="bottomLeft" state="frozen"/>
      <selection pane="bottomLeft" activeCell="E20" sqref="E20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8.44140625" customWidth="1"/>
    <col min="4" max="5" width="16" customWidth="1"/>
    <col min="6" max="6" width="14" customWidth="1"/>
    <col min="7" max="7" width="30" customWidth="1"/>
    <col min="8" max="8" width="16" customWidth="1"/>
  </cols>
  <sheetData>
    <row r="1" spans="1:10" ht="27.75" customHeight="1" x14ac:dyDescent="0.3">
      <c r="A1" s="34" t="s">
        <v>146</v>
      </c>
      <c r="B1" s="34"/>
      <c r="C1" s="34"/>
      <c r="D1" s="34"/>
      <c r="E1" s="34"/>
      <c r="F1" s="34"/>
      <c r="G1" s="34"/>
    </row>
    <row r="3" spans="1:10" ht="15.75" customHeight="1" x14ac:dyDescent="0.3">
      <c r="A3" s="1" t="s">
        <v>20</v>
      </c>
    </row>
    <row r="4" spans="1:10" ht="26.25" customHeight="1" x14ac:dyDescent="0.3">
      <c r="A4" s="30" t="s">
        <v>21</v>
      </c>
      <c r="B4" s="30" t="s">
        <v>22</v>
      </c>
      <c r="C4" s="30" t="s">
        <v>23</v>
      </c>
      <c r="D4" s="30" t="s">
        <v>24</v>
      </c>
      <c r="E4" s="30" t="s">
        <v>25</v>
      </c>
      <c r="F4" s="30" t="s">
        <v>26</v>
      </c>
      <c r="G4" s="30" t="s">
        <v>27</v>
      </c>
      <c r="H4" s="30" t="s">
        <v>28</v>
      </c>
      <c r="I4" s="10"/>
    </row>
    <row r="5" spans="1:10" ht="15" customHeight="1" x14ac:dyDescent="0.3">
      <c r="A5" s="2" t="s">
        <v>29</v>
      </c>
      <c r="B5" s="11">
        <v>200</v>
      </c>
      <c r="C5" s="11">
        <v>14</v>
      </c>
      <c r="D5" s="6">
        <f t="shared" ref="D5:D13" si="0">C5/B5</f>
        <v>7.0000000000000007E-2</v>
      </c>
      <c r="E5" s="8">
        <f t="shared" ref="E5:E12" si="1">B5*H5</f>
        <v>600000</v>
      </c>
      <c r="F5" s="6">
        <f t="shared" ref="F5:F12" si="2">E5/$E$13</f>
        <v>5.7142857142857141E-2</v>
      </c>
      <c r="G5" s="31" t="s">
        <v>30</v>
      </c>
      <c r="H5" s="12">
        <v>3000</v>
      </c>
      <c r="I5" s="13"/>
      <c r="J5" s="12"/>
    </row>
    <row r="6" spans="1:10" ht="15" customHeight="1" x14ac:dyDescent="0.3">
      <c r="A6" s="2" t="s">
        <v>31</v>
      </c>
      <c r="B6" s="11">
        <v>175</v>
      </c>
      <c r="C6" s="11">
        <v>16</v>
      </c>
      <c r="D6" s="6">
        <f t="shared" si="0"/>
        <v>9.1428571428571428E-2</v>
      </c>
      <c r="E6" s="8">
        <f t="shared" si="1"/>
        <v>525000</v>
      </c>
      <c r="F6" s="6">
        <f t="shared" si="2"/>
        <v>0.05</v>
      </c>
      <c r="G6" s="31" t="s">
        <v>32</v>
      </c>
      <c r="H6" s="12">
        <v>3000</v>
      </c>
    </row>
    <row r="7" spans="1:10" ht="15" customHeight="1" x14ac:dyDescent="0.3">
      <c r="A7" s="2" t="s">
        <v>33</v>
      </c>
      <c r="B7" s="11">
        <v>150</v>
      </c>
      <c r="C7" s="11">
        <v>18</v>
      </c>
      <c r="D7" s="6">
        <f t="shared" si="0"/>
        <v>0.12</v>
      </c>
      <c r="E7" s="8">
        <f t="shared" si="1"/>
        <v>450000</v>
      </c>
      <c r="F7" s="6">
        <f t="shared" si="2"/>
        <v>4.2857142857142858E-2</v>
      </c>
      <c r="G7" s="31" t="s">
        <v>34</v>
      </c>
      <c r="H7" s="12">
        <v>3000</v>
      </c>
    </row>
    <row r="8" spans="1:10" ht="15" customHeight="1" x14ac:dyDescent="0.3">
      <c r="A8" s="2" t="s">
        <v>35</v>
      </c>
      <c r="B8" s="11">
        <v>120</v>
      </c>
      <c r="C8" s="11">
        <v>24</v>
      </c>
      <c r="D8" s="6">
        <f t="shared" si="0"/>
        <v>0.2</v>
      </c>
      <c r="E8" s="8">
        <f t="shared" si="1"/>
        <v>360000</v>
      </c>
      <c r="F8" s="6">
        <f t="shared" si="2"/>
        <v>3.4285714285714287E-2</v>
      </c>
      <c r="G8" s="31" t="s">
        <v>36</v>
      </c>
      <c r="H8" s="12">
        <v>3000</v>
      </c>
    </row>
    <row r="9" spans="1:10" ht="15" customHeight="1" x14ac:dyDescent="0.3">
      <c r="A9" s="2" t="s">
        <v>37</v>
      </c>
      <c r="B9" s="11">
        <v>55</v>
      </c>
      <c r="C9" s="11">
        <v>2</v>
      </c>
      <c r="D9" s="6">
        <f t="shared" si="0"/>
        <v>3.6363636363636362E-2</v>
      </c>
      <c r="E9" s="8">
        <f t="shared" si="1"/>
        <v>165000</v>
      </c>
      <c r="F9" s="6">
        <f t="shared" si="2"/>
        <v>1.5714285714285715E-2</v>
      </c>
      <c r="G9" s="31" t="s">
        <v>38</v>
      </c>
      <c r="H9" s="12">
        <v>3000</v>
      </c>
    </row>
    <row r="10" spans="1:10" ht="15" customHeight="1" x14ac:dyDescent="0.3">
      <c r="A10" s="2" t="s">
        <v>39</v>
      </c>
      <c r="B10" s="11">
        <v>140</v>
      </c>
      <c r="C10" s="11">
        <v>4</v>
      </c>
      <c r="D10" s="6">
        <f t="shared" si="0"/>
        <v>2.8571428571428571E-2</v>
      </c>
      <c r="E10" s="8">
        <f t="shared" si="1"/>
        <v>3500000</v>
      </c>
      <c r="F10" s="6">
        <f t="shared" si="2"/>
        <v>0.33333333333333331</v>
      </c>
      <c r="G10" s="31" t="s">
        <v>40</v>
      </c>
      <c r="H10" s="12">
        <v>25000</v>
      </c>
    </row>
    <row r="11" spans="1:10" ht="15" customHeight="1" x14ac:dyDescent="0.3">
      <c r="A11" s="2" t="s">
        <v>41</v>
      </c>
      <c r="B11" s="11">
        <v>70</v>
      </c>
      <c r="C11" s="11">
        <v>2</v>
      </c>
      <c r="D11" s="6">
        <f t="shared" si="0"/>
        <v>2.8571428571428571E-2</v>
      </c>
      <c r="E11" s="8">
        <f t="shared" si="1"/>
        <v>1750000</v>
      </c>
      <c r="F11" s="6">
        <f t="shared" si="2"/>
        <v>0.16666666666666666</v>
      </c>
      <c r="G11" s="31" t="s">
        <v>42</v>
      </c>
      <c r="H11" s="12">
        <v>25000</v>
      </c>
    </row>
    <row r="12" spans="1:10" ht="15" customHeight="1" x14ac:dyDescent="0.3">
      <c r="A12" s="2" t="s">
        <v>43</v>
      </c>
      <c r="B12" s="11">
        <v>90</v>
      </c>
      <c r="C12" s="11">
        <v>1</v>
      </c>
      <c r="D12" s="6">
        <f t="shared" si="0"/>
        <v>1.1111111111111112E-2</v>
      </c>
      <c r="E12" s="8">
        <f t="shared" si="1"/>
        <v>3150000</v>
      </c>
      <c r="F12" s="6">
        <f t="shared" si="2"/>
        <v>0.3</v>
      </c>
      <c r="G12" s="31" t="s">
        <v>44</v>
      </c>
      <c r="H12" s="12">
        <v>35000</v>
      </c>
    </row>
    <row r="13" spans="1:10" ht="15" customHeight="1" x14ac:dyDescent="0.3">
      <c r="A13" s="14" t="s">
        <v>45</v>
      </c>
      <c r="B13" s="15">
        <f>SUM(B5:B12)</f>
        <v>1000</v>
      </c>
      <c r="C13" s="15">
        <f>SUM(C5:C12)</f>
        <v>81</v>
      </c>
      <c r="D13" s="16">
        <f t="shared" si="0"/>
        <v>8.1000000000000003E-2</v>
      </c>
      <c r="E13" s="17">
        <f>SUM(E5:E12)</f>
        <v>10500000</v>
      </c>
      <c r="F13" s="16">
        <f>SUM(F5:F12)</f>
        <v>1</v>
      </c>
    </row>
    <row r="16" spans="1:10" ht="15.75" customHeight="1" x14ac:dyDescent="0.3">
      <c r="A16" s="28" t="s">
        <v>46</v>
      </c>
    </row>
    <row r="17" spans="1:11" ht="15" customHeight="1" x14ac:dyDescent="0.3">
      <c r="A17" s="30" t="s">
        <v>1</v>
      </c>
      <c r="B17" s="32"/>
      <c r="C17" s="32"/>
      <c r="D17" s="32"/>
      <c r="E17" s="32"/>
      <c r="F17" s="30" t="s">
        <v>2</v>
      </c>
      <c r="G17" s="30" t="s">
        <v>47</v>
      </c>
    </row>
    <row r="18" spans="1:11" ht="15" customHeight="1" x14ac:dyDescent="0.3">
      <c r="A18" s="2" t="s">
        <v>48</v>
      </c>
      <c r="F18" s="5">
        <v>0.2</v>
      </c>
      <c r="G18" s="41" t="s">
        <v>49</v>
      </c>
      <c r="H18" s="41"/>
      <c r="I18" s="41"/>
      <c r="J18" s="41"/>
      <c r="K18" s="41"/>
    </row>
    <row r="19" spans="1:11" ht="15" customHeight="1" x14ac:dyDescent="0.3">
      <c r="A19" s="2" t="s">
        <v>9</v>
      </c>
      <c r="F19" s="6">
        <f>SUM(B5:B9)/B13</f>
        <v>0.7</v>
      </c>
      <c r="G19" s="41" t="s">
        <v>50</v>
      </c>
      <c r="H19" s="41"/>
      <c r="I19" s="41"/>
      <c r="J19" s="41"/>
      <c r="K19" s="41"/>
    </row>
    <row r="20" spans="1:11" ht="15" customHeight="1" x14ac:dyDescent="0.3">
      <c r="A20" s="2" t="s">
        <v>51</v>
      </c>
      <c r="F20" s="6">
        <f>E12/E13</f>
        <v>0.3</v>
      </c>
      <c r="G20" s="41" t="s">
        <v>52</v>
      </c>
      <c r="H20" s="41"/>
      <c r="I20" s="41"/>
      <c r="J20" s="41"/>
      <c r="K20" s="41"/>
    </row>
    <row r="21" spans="1:11" ht="15" customHeight="1" x14ac:dyDescent="0.3">
      <c r="A21" s="2" t="s">
        <v>11</v>
      </c>
      <c r="F21" s="9">
        <v>70</v>
      </c>
      <c r="G21" s="41" t="s">
        <v>53</v>
      </c>
      <c r="H21" s="41"/>
      <c r="I21" s="41"/>
      <c r="J21" s="41"/>
      <c r="K21" s="41"/>
    </row>
    <row r="22" spans="1:11" ht="15" customHeight="1" x14ac:dyDescent="0.3">
      <c r="A22" s="2" t="s">
        <v>54</v>
      </c>
      <c r="F22" s="18">
        <f>E12/B12</f>
        <v>35000</v>
      </c>
      <c r="G22" s="41" t="s">
        <v>55</v>
      </c>
      <c r="H22" s="41"/>
      <c r="I22" s="41"/>
      <c r="J22" s="41"/>
      <c r="K22" s="41"/>
    </row>
    <row r="23" spans="1:11" ht="15" customHeight="1" x14ac:dyDescent="0.3">
      <c r="A23" s="2" t="s">
        <v>56</v>
      </c>
      <c r="F23" s="18">
        <f>SUM(E5:E9)/SUM(B5:B9)</f>
        <v>3000</v>
      </c>
      <c r="G23" s="41" t="s">
        <v>57</v>
      </c>
      <c r="H23" s="41"/>
      <c r="I23" s="41"/>
      <c r="J23" s="41"/>
      <c r="K23" s="41"/>
    </row>
    <row r="24" spans="1:11" ht="15" customHeight="1" x14ac:dyDescent="0.3">
      <c r="A24" s="2" t="s">
        <v>58</v>
      </c>
      <c r="F24" s="19">
        <f>F22/F23</f>
        <v>11.666666666666666</v>
      </c>
      <c r="G24" s="41" t="s">
        <v>59</v>
      </c>
      <c r="H24" s="41"/>
      <c r="I24" s="41"/>
      <c r="J24" s="41"/>
      <c r="K24" s="41"/>
    </row>
  </sheetData>
  <mergeCells count="8">
    <mergeCell ref="G22:K22"/>
    <mergeCell ref="G23:K23"/>
    <mergeCell ref="G24:K24"/>
    <mergeCell ref="A1:G1"/>
    <mergeCell ref="G18:K18"/>
    <mergeCell ref="G19:K19"/>
    <mergeCell ref="G20:K20"/>
    <mergeCell ref="G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zoomScaleNormal="100" workbookViewId="0">
      <pane ySplit="3" topLeftCell="A7" activePane="bottomLeft" state="frozen"/>
      <selection pane="bottomLeft" activeCell="A12" sqref="A12:G12"/>
    </sheetView>
  </sheetViews>
  <sheetFormatPr defaultColWidth="8.6640625" defaultRowHeight="14.4" x14ac:dyDescent="0.3"/>
  <cols>
    <col min="1" max="1" width="22" customWidth="1"/>
    <col min="2" max="2" width="14" customWidth="1"/>
    <col min="3" max="5" width="16" customWidth="1"/>
    <col min="6" max="6" width="18" customWidth="1"/>
    <col min="7" max="7" width="30" customWidth="1"/>
  </cols>
  <sheetData>
    <row r="1" spans="1:10" ht="27.75" customHeight="1" x14ac:dyDescent="0.3">
      <c r="A1" s="34" t="s">
        <v>60</v>
      </c>
      <c r="B1" s="34"/>
      <c r="C1" s="34"/>
      <c r="D1" s="34"/>
      <c r="E1" s="34"/>
      <c r="F1" s="34"/>
      <c r="G1" s="34"/>
    </row>
    <row r="3" spans="1:10" ht="15.75" customHeight="1" x14ac:dyDescent="0.3">
      <c r="A3" s="1" t="s">
        <v>61</v>
      </c>
    </row>
    <row r="4" spans="1:10" ht="26.25" customHeight="1" x14ac:dyDescent="0.3">
      <c r="A4" s="30" t="s">
        <v>62</v>
      </c>
      <c r="B4" s="30" t="s">
        <v>24</v>
      </c>
      <c r="C4" s="30" t="s">
        <v>63</v>
      </c>
      <c r="D4" s="30" t="s">
        <v>64</v>
      </c>
      <c r="E4" s="30" t="s">
        <v>65</v>
      </c>
      <c r="F4" s="30" t="s">
        <v>66</v>
      </c>
      <c r="G4" s="30" t="s">
        <v>67</v>
      </c>
      <c r="I4" s="13" t="s">
        <v>68</v>
      </c>
      <c r="J4" s="5">
        <v>0.5</v>
      </c>
    </row>
    <row r="5" spans="1:10" ht="15" customHeight="1" x14ac:dyDescent="0.3">
      <c r="A5" s="2" t="s">
        <v>69</v>
      </c>
      <c r="B5" s="5">
        <v>0.05</v>
      </c>
      <c r="C5" s="12">
        <v>150000</v>
      </c>
      <c r="D5" s="6">
        <f>C5/$C$9</f>
        <v>0.15</v>
      </c>
      <c r="E5" s="20">
        <v>1</v>
      </c>
      <c r="F5" s="18">
        <f>C5+(C8*$J$4)/2</f>
        <v>250000</v>
      </c>
      <c r="G5" s="4" t="s">
        <v>70</v>
      </c>
    </row>
    <row r="6" spans="1:10" ht="15" customHeight="1" x14ac:dyDescent="0.3">
      <c r="A6" s="2" t="s">
        <v>71</v>
      </c>
      <c r="B6" s="5">
        <v>0.08</v>
      </c>
      <c r="C6" s="12">
        <v>200000</v>
      </c>
      <c r="D6" s="6">
        <f>C6/$C$9</f>
        <v>0.2</v>
      </c>
      <c r="E6" s="20">
        <v>2</v>
      </c>
      <c r="F6" s="18">
        <f>C6+(C8*$J$4)/2</f>
        <v>300000</v>
      </c>
      <c r="G6" s="4" t="s">
        <v>70</v>
      </c>
    </row>
    <row r="7" spans="1:10" ht="15" customHeight="1" x14ac:dyDescent="0.3">
      <c r="A7" s="2" t="s">
        <v>72</v>
      </c>
      <c r="B7" s="5">
        <v>0.15</v>
      </c>
      <c r="C7" s="12">
        <v>250000</v>
      </c>
      <c r="D7" s="6">
        <f>C7/$C$9</f>
        <v>0.25</v>
      </c>
      <c r="E7" s="20">
        <v>3</v>
      </c>
      <c r="F7" s="18">
        <f>C7</f>
        <v>250000</v>
      </c>
      <c r="G7" s="4" t="s">
        <v>73</v>
      </c>
    </row>
    <row r="8" spans="1:10" ht="15" customHeight="1" x14ac:dyDescent="0.3">
      <c r="A8" s="2" t="s">
        <v>74</v>
      </c>
      <c r="B8" s="5">
        <v>0.2</v>
      </c>
      <c r="C8" s="12">
        <v>400000</v>
      </c>
      <c r="D8" s="6">
        <f>C8/$C$9</f>
        <v>0.4</v>
      </c>
      <c r="E8" s="20">
        <v>4</v>
      </c>
      <c r="F8" s="18">
        <f>C8*(1-$J$4)</f>
        <v>200000</v>
      </c>
      <c r="G8" s="4" t="s">
        <v>75</v>
      </c>
    </row>
    <row r="9" spans="1:10" ht="15" customHeight="1" x14ac:dyDescent="0.3">
      <c r="A9" s="14" t="s">
        <v>45</v>
      </c>
      <c r="B9" s="21"/>
      <c r="C9" s="22">
        <f>SUM(C5:C8)</f>
        <v>1000000</v>
      </c>
      <c r="D9" s="16">
        <f>SUM(D5:D8)</f>
        <v>1</v>
      </c>
      <c r="E9" s="21"/>
      <c r="F9" s="23">
        <f>SUM(F5:F8)</f>
        <v>1000000</v>
      </c>
    </row>
    <row r="11" spans="1:10" ht="15.75" customHeight="1" x14ac:dyDescent="0.3">
      <c r="A11" s="1" t="s">
        <v>76</v>
      </c>
    </row>
    <row r="12" spans="1:10" ht="15" customHeight="1" x14ac:dyDescent="0.3">
      <c r="A12" s="30" t="s">
        <v>1</v>
      </c>
      <c r="B12" s="30" t="s">
        <v>77</v>
      </c>
      <c r="C12" s="30" t="s">
        <v>78</v>
      </c>
      <c r="D12" s="30" t="s">
        <v>79</v>
      </c>
      <c r="E12" s="30"/>
      <c r="F12" s="30"/>
      <c r="G12" s="30"/>
    </row>
    <row r="13" spans="1:10" ht="15" customHeight="1" x14ac:dyDescent="0.3">
      <c r="A13" s="2" t="s">
        <v>80</v>
      </c>
      <c r="B13" s="6">
        <f>SUMPRODUCT(B5:B8,D5:D8)</f>
        <v>0.14100000000000001</v>
      </c>
      <c r="C13" s="6">
        <f>SUMPRODUCT(B5:B8,F5:F8)/SUM(F5:F8)</f>
        <v>0.114</v>
      </c>
      <c r="D13" s="6">
        <f>C13-B13</f>
        <v>-2.700000000000001E-2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Normal="100" workbookViewId="0">
      <pane ySplit="3" topLeftCell="A7" activePane="bottomLeft" state="frozen"/>
      <selection pane="bottomLeft" activeCell="I8" sqref="I8"/>
    </sheetView>
  </sheetViews>
  <sheetFormatPr defaultColWidth="8.6640625" defaultRowHeight="14.4" x14ac:dyDescent="0.3"/>
  <cols>
    <col min="1" max="1" width="16" customWidth="1"/>
    <col min="2" max="2" width="22" customWidth="1"/>
    <col min="3" max="4" width="28" customWidth="1"/>
    <col min="5" max="5" width="20" customWidth="1"/>
    <col min="6" max="6" width="16" customWidth="1"/>
  </cols>
  <sheetData>
    <row r="1" spans="1:6" ht="27.75" customHeight="1" x14ac:dyDescent="0.3">
      <c r="A1" s="34" t="s">
        <v>81</v>
      </c>
      <c r="B1" s="34"/>
      <c r="C1" s="34"/>
      <c r="D1" s="34"/>
      <c r="E1" s="34"/>
      <c r="F1" s="34"/>
    </row>
    <row r="3" spans="1:6" ht="15" customHeight="1" x14ac:dyDescent="0.3">
      <c r="A3" s="30" t="s">
        <v>82</v>
      </c>
      <c r="B3" s="30" t="s">
        <v>83</v>
      </c>
      <c r="C3" s="30" t="s">
        <v>84</v>
      </c>
      <c r="D3" s="30" t="s">
        <v>85</v>
      </c>
      <c r="E3" s="30" t="s">
        <v>86</v>
      </c>
      <c r="F3" s="30" t="s">
        <v>87</v>
      </c>
    </row>
    <row r="4" spans="1:6" ht="39.75" customHeight="1" x14ac:dyDescent="0.3">
      <c r="A4" s="24" t="s">
        <v>88</v>
      </c>
      <c r="B4" s="25" t="s">
        <v>89</v>
      </c>
      <c r="C4" s="25" t="s">
        <v>90</v>
      </c>
      <c r="D4" s="25" t="s">
        <v>91</v>
      </c>
      <c r="E4" s="25" t="s">
        <v>92</v>
      </c>
      <c r="F4" s="25" t="s">
        <v>93</v>
      </c>
    </row>
    <row r="5" spans="1:6" ht="39.75" customHeight="1" x14ac:dyDescent="0.3">
      <c r="A5" s="24" t="s">
        <v>94</v>
      </c>
      <c r="B5" s="25" t="s">
        <v>95</v>
      </c>
      <c r="C5" s="25" t="s">
        <v>96</v>
      </c>
      <c r="D5" s="25" t="s">
        <v>97</v>
      </c>
      <c r="E5" s="25" t="s">
        <v>98</v>
      </c>
      <c r="F5" s="25" t="s">
        <v>99</v>
      </c>
    </row>
    <row r="6" spans="1:6" ht="39.75" customHeight="1" x14ac:dyDescent="0.3">
      <c r="A6" s="24" t="s">
        <v>100</v>
      </c>
      <c r="B6" s="25" t="s">
        <v>101</v>
      </c>
      <c r="C6" s="25" t="s">
        <v>102</v>
      </c>
      <c r="D6" s="25" t="s">
        <v>103</v>
      </c>
      <c r="E6" s="25" t="s">
        <v>104</v>
      </c>
      <c r="F6" s="25" t="s">
        <v>105</v>
      </c>
    </row>
    <row r="9" spans="1:6" ht="15.75" customHeight="1" x14ac:dyDescent="0.3">
      <c r="A9" s="28" t="s">
        <v>106</v>
      </c>
    </row>
    <row r="10" spans="1:6" ht="15" customHeight="1" x14ac:dyDescent="0.3">
      <c r="A10" s="30" t="s">
        <v>107</v>
      </c>
      <c r="B10" s="30" t="s">
        <v>108</v>
      </c>
      <c r="C10" s="30" t="s">
        <v>109</v>
      </c>
      <c r="D10" s="30" t="s">
        <v>110</v>
      </c>
      <c r="E10" s="30" t="s">
        <v>86</v>
      </c>
      <c r="F10" s="30" t="s">
        <v>27</v>
      </c>
    </row>
    <row r="11" spans="1:6" ht="39" customHeight="1" x14ac:dyDescent="0.3">
      <c r="A11" s="26" t="s">
        <v>111</v>
      </c>
      <c r="B11" s="27" t="s">
        <v>112</v>
      </c>
      <c r="C11" s="27"/>
      <c r="D11" s="27"/>
      <c r="E11" s="26" t="s">
        <v>113</v>
      </c>
      <c r="F11" s="26" t="s">
        <v>114</v>
      </c>
    </row>
    <row r="12" spans="1:6" ht="29.4" customHeight="1" x14ac:dyDescent="0.3">
      <c r="A12" s="26" t="s">
        <v>115</v>
      </c>
      <c r="B12" s="27" t="s">
        <v>112</v>
      </c>
      <c r="C12" s="27" t="s">
        <v>112</v>
      </c>
      <c r="D12" s="27"/>
      <c r="E12" s="26" t="s">
        <v>92</v>
      </c>
      <c r="F12" s="26" t="s">
        <v>116</v>
      </c>
    </row>
    <row r="13" spans="1:6" ht="27.6" customHeight="1" x14ac:dyDescent="0.3">
      <c r="A13" s="26" t="s">
        <v>117</v>
      </c>
      <c r="B13" s="27"/>
      <c r="C13" s="27" t="s">
        <v>112</v>
      </c>
      <c r="D13" s="27" t="s">
        <v>112</v>
      </c>
      <c r="E13" s="26" t="s">
        <v>104</v>
      </c>
      <c r="F13" s="26" t="s">
        <v>118</v>
      </c>
    </row>
    <row r="14" spans="1:6" ht="29.4" customHeight="1" x14ac:dyDescent="0.3">
      <c r="A14" s="26" t="s">
        <v>119</v>
      </c>
      <c r="B14" s="27" t="s">
        <v>112</v>
      </c>
      <c r="C14" s="27"/>
      <c r="D14" s="27"/>
      <c r="E14" s="26" t="s">
        <v>120</v>
      </c>
      <c r="F14" s="26" t="s">
        <v>121</v>
      </c>
    </row>
    <row r="15" spans="1:6" ht="36" customHeight="1" x14ac:dyDescent="0.3">
      <c r="A15" s="26" t="s">
        <v>122</v>
      </c>
      <c r="B15" s="27"/>
      <c r="C15" s="27" t="s">
        <v>112</v>
      </c>
      <c r="D15" s="27" t="s">
        <v>112</v>
      </c>
      <c r="E15" s="26" t="s">
        <v>123</v>
      </c>
      <c r="F15" s="26" t="s">
        <v>124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abSelected="1" zoomScaleNormal="100" workbookViewId="0">
      <pane ySplit="3" topLeftCell="A4" activePane="bottomLeft" state="frozen"/>
      <selection pane="bottomLeft" activeCell="G11" sqref="G11:G12"/>
    </sheetView>
  </sheetViews>
  <sheetFormatPr defaultColWidth="8.6640625" defaultRowHeight="14.4" x14ac:dyDescent="0.3"/>
  <cols>
    <col min="1" max="1" width="30" customWidth="1"/>
    <col min="2" max="2" width="18" customWidth="1"/>
    <col min="3" max="3" width="56.21875" customWidth="1"/>
  </cols>
  <sheetData>
    <row r="1" spans="1:3" ht="27.75" customHeight="1" x14ac:dyDescent="0.3">
      <c r="A1" s="34" t="s">
        <v>147</v>
      </c>
      <c r="B1" s="34"/>
      <c r="C1" s="34"/>
    </row>
    <row r="3" spans="1:3" ht="15.75" customHeight="1" x14ac:dyDescent="0.3">
      <c r="A3" s="1" t="s">
        <v>125</v>
      </c>
    </row>
    <row r="4" spans="1:3" ht="26.25" customHeight="1" x14ac:dyDescent="0.3">
      <c r="A4" s="30" t="s">
        <v>126</v>
      </c>
      <c r="B4" s="30" t="s">
        <v>2</v>
      </c>
      <c r="C4" s="30" t="s">
        <v>127</v>
      </c>
    </row>
    <row r="5" spans="1:3" ht="15" customHeight="1" x14ac:dyDescent="0.3">
      <c r="A5" s="2" t="s">
        <v>128</v>
      </c>
      <c r="B5" s="11">
        <v>427580</v>
      </c>
      <c r="C5" s="31" t="s">
        <v>129</v>
      </c>
    </row>
    <row r="6" spans="1:3" ht="15" customHeight="1" x14ac:dyDescent="0.3">
      <c r="A6" s="2" t="s">
        <v>130</v>
      </c>
      <c r="B6" s="11">
        <v>35640</v>
      </c>
      <c r="C6" s="31" t="s">
        <v>131</v>
      </c>
    </row>
    <row r="7" spans="1:3" ht="15" customHeight="1" x14ac:dyDescent="0.3">
      <c r="A7" s="2" t="s">
        <v>132</v>
      </c>
      <c r="B7" s="11">
        <v>213</v>
      </c>
      <c r="C7" s="31" t="s">
        <v>133</v>
      </c>
    </row>
    <row r="9" spans="1:3" ht="15" customHeight="1" x14ac:dyDescent="0.3">
      <c r="A9" s="33" t="s">
        <v>134</v>
      </c>
    </row>
    <row r="10" spans="1:3" ht="15" customHeight="1" x14ac:dyDescent="0.3">
      <c r="A10" s="35" t="s">
        <v>135</v>
      </c>
      <c r="B10" s="35"/>
      <c r="C10" s="35"/>
    </row>
    <row r="11" spans="1:3" ht="15" customHeight="1" x14ac:dyDescent="0.3">
      <c r="A11" s="35"/>
      <c r="B11" s="35"/>
      <c r="C11" s="35"/>
    </row>
    <row r="12" spans="1:3" ht="15" customHeight="1" x14ac:dyDescent="0.3">
      <c r="A12" s="35"/>
      <c r="B12" s="35"/>
      <c r="C12" s="35"/>
    </row>
    <row r="13" spans="1:3" ht="15" customHeight="1" x14ac:dyDescent="0.3">
      <c r="A13" s="35"/>
      <c r="B13" s="35"/>
      <c r="C13" s="35"/>
    </row>
    <row r="15" spans="1:3" ht="15.75" customHeight="1" x14ac:dyDescent="0.3">
      <c r="A15" s="1" t="s">
        <v>136</v>
      </c>
    </row>
    <row r="16" spans="1:3" ht="15" customHeight="1" x14ac:dyDescent="0.3">
      <c r="A16" s="30" t="s">
        <v>137</v>
      </c>
      <c r="B16" s="30" t="s">
        <v>138</v>
      </c>
      <c r="C16" s="30" t="s">
        <v>139</v>
      </c>
    </row>
    <row r="17" spans="1:3" ht="15" customHeight="1" x14ac:dyDescent="0.3">
      <c r="A17" s="2" t="s">
        <v>140</v>
      </c>
      <c r="B17" s="11">
        <v>140</v>
      </c>
      <c r="C17" s="18">
        <f>B17*6750</f>
        <v>945000</v>
      </c>
    </row>
    <row r="18" spans="1:3" ht="15" customHeight="1" x14ac:dyDescent="0.3">
      <c r="A18" s="2" t="s">
        <v>141</v>
      </c>
      <c r="B18" s="11">
        <v>45</v>
      </c>
      <c r="C18" s="18">
        <f>B18*6750</f>
        <v>303750</v>
      </c>
    </row>
    <row r="19" spans="1:3" ht="15" customHeight="1" x14ac:dyDescent="0.3">
      <c r="A19" s="2" t="s">
        <v>142</v>
      </c>
      <c r="B19" s="11">
        <v>18</v>
      </c>
      <c r="C19" s="18">
        <f>B19*6750</f>
        <v>121500</v>
      </c>
    </row>
    <row r="20" spans="1:3" ht="15" customHeight="1" x14ac:dyDescent="0.3">
      <c r="A20" s="2" t="s">
        <v>143</v>
      </c>
      <c r="B20" s="11">
        <v>10</v>
      </c>
      <c r="C20" s="18">
        <f>B20*6750</f>
        <v>67500</v>
      </c>
    </row>
  </sheetData>
  <mergeCells count="2">
    <mergeCell ref="A1:C1"/>
    <mergeCell ref="A10:C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Segment Analysis</vt:lpstr>
      <vt:lpstr>Channel Audit</vt:lpstr>
      <vt:lpstr>Retention Protocol</vt:lpstr>
      <vt:lpstr>GG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Tyren Mutugi</cp:lastModifiedBy>
  <cp:revision>5</cp:revision>
  <dcterms:created xsi:type="dcterms:W3CDTF">2026-06-29T11:07:43Z</dcterms:created>
  <dcterms:modified xsi:type="dcterms:W3CDTF">2026-06-29T11:46:49Z</dcterms:modified>
  <dc:language>en-US</dc:language>
</cp:coreProperties>
</file>